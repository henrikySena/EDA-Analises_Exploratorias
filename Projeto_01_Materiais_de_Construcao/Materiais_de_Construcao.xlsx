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enriky\Desktop\Excel\projetinho\"/>
    </mc:Choice>
  </mc:AlternateContent>
  <xr:revisionPtr revIDLastSave="0" documentId="13_ncr:1_{38E350E9-1451-4C02-BD4B-CC6584732D81}" xr6:coauthVersionLast="47" xr6:coauthVersionMax="47" xr10:uidLastSave="{00000000-0000-0000-0000-000000000000}"/>
  <bookViews>
    <workbookView xWindow="-120" yWindow="-120" windowWidth="19440" windowHeight="15000" firstSheet="1" activeTab="3" xr2:uid="{00000000-000D-0000-FFFF-FFFF00000000}"/>
  </bookViews>
  <sheets>
    <sheet name="Vendas-Banco_Original" sheetId="1" r:id="rId1"/>
    <sheet name="Identificacao_Erros" sheetId="4" r:id="rId2"/>
    <sheet name="Tratamento_Erros" sheetId="6" r:id="rId3"/>
    <sheet name="Dados_Limpos" sheetId="10" r:id="rId4"/>
  </sheets>
  <definedNames>
    <definedName name="_xlnm._FilterDatabase" localSheetId="2" hidden="1">Tratamento_Erros!$A$1:$K$201</definedName>
    <definedName name="_xlnm.Extract" localSheetId="3">Dados_Limpos!$A$1:$K$1</definedName>
    <definedName name="tbl_tratamento">tbl_vendas56[]</definedName>
    <definedName name="Tratamento_Erros">tbl_vendas56[]</definedName>
  </definedNames>
  <calcPr calcId="191029"/>
  <pivotCaches>
    <pivotCache cacheId="8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10" l="1"/>
  <c r="A26" i="10"/>
  <c r="J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A2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J2" i="6"/>
  <c r="C2" i="6" s="1"/>
  <c r="D2" i="6" s="1"/>
  <c r="J3" i="6"/>
  <c r="C3" i="6" s="1"/>
  <c r="J4" i="6"/>
  <c r="C4" i="6" s="1"/>
  <c r="D4" i="6" s="1"/>
  <c r="J5" i="6"/>
  <c r="C5" i="6" s="1"/>
  <c r="J6" i="6"/>
  <c r="C6" i="6" s="1"/>
  <c r="D6" i="6" s="1"/>
  <c r="J7" i="6"/>
  <c r="C7" i="6" s="1"/>
  <c r="J8" i="6"/>
  <c r="C8" i="6" s="1"/>
  <c r="J9" i="6"/>
  <c r="C9" i="6" s="1"/>
  <c r="J10" i="6"/>
  <c r="C10" i="6" s="1"/>
  <c r="D10" i="6" s="1"/>
  <c r="J11" i="6"/>
  <c r="C11" i="6" s="1"/>
  <c r="J12" i="6"/>
  <c r="C12" i="6" s="1"/>
  <c r="D12" i="6" s="1"/>
  <c r="J13" i="6"/>
  <c r="C13" i="6" s="1"/>
  <c r="J14" i="6"/>
  <c r="C14" i="6" s="1"/>
  <c r="D14" i="6" s="1"/>
  <c r="J15" i="6"/>
  <c r="C15" i="6" s="1"/>
  <c r="J16" i="6"/>
  <c r="C16" i="6" s="1"/>
  <c r="J17" i="6"/>
  <c r="C17" i="6" s="1"/>
  <c r="J18" i="6"/>
  <c r="C18" i="6" s="1"/>
  <c r="D18" i="6" s="1"/>
  <c r="J19" i="6"/>
  <c r="C19" i="6" s="1"/>
  <c r="J20" i="6"/>
  <c r="C20" i="6" s="1"/>
  <c r="D20" i="6" s="1"/>
  <c r="J21" i="6"/>
  <c r="C21" i="6" s="1"/>
  <c r="J22" i="6"/>
  <c r="C22" i="6" s="1"/>
  <c r="D22" i="6" s="1"/>
  <c r="J23" i="6"/>
  <c r="C23" i="6" s="1"/>
  <c r="J24" i="6"/>
  <c r="C24" i="6" s="1"/>
  <c r="J25" i="6"/>
  <c r="C25" i="6" s="1"/>
  <c r="J26" i="6"/>
  <c r="C26" i="6" s="1"/>
  <c r="D26" i="6" s="1"/>
  <c r="J27" i="6"/>
  <c r="C27" i="6" s="1"/>
  <c r="J28" i="6"/>
  <c r="C28" i="6" s="1"/>
  <c r="D28" i="6" s="1"/>
  <c r="J29" i="6"/>
  <c r="C29" i="6" s="1"/>
  <c r="J30" i="6"/>
  <c r="C30" i="6" s="1"/>
  <c r="D30" i="6" s="1"/>
  <c r="J31" i="6"/>
  <c r="C31" i="6" s="1"/>
  <c r="J32" i="6"/>
  <c r="C32" i="6" s="1"/>
  <c r="J33" i="6"/>
  <c r="C33" i="6" s="1"/>
  <c r="J34" i="6"/>
  <c r="C34" i="6" s="1"/>
  <c r="D34" i="6" s="1"/>
  <c r="J35" i="6"/>
  <c r="C35" i="6" s="1"/>
  <c r="J36" i="6"/>
  <c r="C36" i="6" s="1"/>
  <c r="D36" i="6" s="1"/>
  <c r="J37" i="6"/>
  <c r="C37" i="6" s="1"/>
  <c r="J38" i="6"/>
  <c r="C38" i="6" s="1"/>
  <c r="D38" i="6" s="1"/>
  <c r="J39" i="6"/>
  <c r="C39" i="6" s="1"/>
  <c r="J40" i="6"/>
  <c r="C40" i="6" s="1"/>
  <c r="D40" i="6" s="1"/>
  <c r="J41" i="6"/>
  <c r="C41" i="6" s="1"/>
  <c r="J42" i="6"/>
  <c r="C42" i="6" s="1"/>
  <c r="D42" i="6" s="1"/>
  <c r="J43" i="6"/>
  <c r="C43" i="6" s="1"/>
  <c r="D43" i="6" s="1"/>
  <c r="J44" i="6"/>
  <c r="C44" i="6" s="1"/>
  <c r="D44" i="6" s="1"/>
  <c r="J45" i="6"/>
  <c r="C45" i="6" s="1"/>
  <c r="J46" i="6"/>
  <c r="C46" i="6" s="1"/>
  <c r="D46" i="6" s="1"/>
  <c r="J47" i="6"/>
  <c r="C47" i="6" s="1"/>
  <c r="D47" i="6" s="1"/>
  <c r="J48" i="6"/>
  <c r="C48" i="6" s="1"/>
  <c r="D48" i="6" s="1"/>
  <c r="J49" i="6"/>
  <c r="C49" i="6" s="1"/>
  <c r="J50" i="6"/>
  <c r="C50" i="6" s="1"/>
  <c r="D50" i="6" s="1"/>
  <c r="J51" i="6"/>
  <c r="C51" i="6" s="1"/>
  <c r="D51" i="6" s="1"/>
  <c r="J52" i="6"/>
  <c r="C52" i="6" s="1"/>
  <c r="J53" i="6"/>
  <c r="C53" i="6" s="1"/>
  <c r="J54" i="6"/>
  <c r="C54" i="6" s="1"/>
  <c r="D54" i="6" s="1"/>
  <c r="J55" i="6"/>
  <c r="C55" i="6" s="1"/>
  <c r="D55" i="6" s="1"/>
  <c r="J56" i="6"/>
  <c r="C56" i="6" s="1"/>
  <c r="J57" i="6"/>
  <c r="C57" i="6" s="1"/>
  <c r="J58" i="6"/>
  <c r="C58" i="6" s="1"/>
  <c r="D58" i="6" s="1"/>
  <c r="J59" i="6"/>
  <c r="C59" i="6" s="1"/>
  <c r="D59" i="6" s="1"/>
  <c r="J60" i="6"/>
  <c r="C60" i="6" s="1"/>
  <c r="D60" i="6" s="1"/>
  <c r="J61" i="6"/>
  <c r="C61" i="6" s="1"/>
  <c r="J62" i="6"/>
  <c r="C62" i="6" s="1"/>
  <c r="D62" i="6" s="1"/>
  <c r="J63" i="6"/>
  <c r="C63" i="6" s="1"/>
  <c r="D63" i="6" s="1"/>
  <c r="J64" i="6"/>
  <c r="C64" i="6" s="1"/>
  <c r="D64" i="6" s="1"/>
  <c r="J65" i="6"/>
  <c r="C65" i="6" s="1"/>
  <c r="J66" i="6"/>
  <c r="C66" i="6" s="1"/>
  <c r="D66" i="6" s="1"/>
  <c r="J67" i="6"/>
  <c r="C67" i="6" s="1"/>
  <c r="D67" i="6" s="1"/>
  <c r="J68" i="6"/>
  <c r="C68" i="6" s="1"/>
  <c r="J69" i="6"/>
  <c r="C69" i="6" s="1"/>
  <c r="J70" i="6"/>
  <c r="C70" i="6" s="1"/>
  <c r="D70" i="6" s="1"/>
  <c r="J71" i="6"/>
  <c r="C71" i="6" s="1"/>
  <c r="D71" i="6" s="1"/>
  <c r="J72" i="6"/>
  <c r="C72" i="6" s="1"/>
  <c r="J73" i="6"/>
  <c r="C73" i="6" s="1"/>
  <c r="J74" i="6"/>
  <c r="C74" i="6" s="1"/>
  <c r="D74" i="6" s="1"/>
  <c r="J75" i="6"/>
  <c r="C75" i="6" s="1"/>
  <c r="D75" i="6" s="1"/>
  <c r="J76" i="6"/>
  <c r="C76" i="6" s="1"/>
  <c r="D76" i="6" s="1"/>
  <c r="J77" i="6"/>
  <c r="C77" i="6" s="1"/>
  <c r="J78" i="6"/>
  <c r="C78" i="6" s="1"/>
  <c r="D78" i="6" s="1"/>
  <c r="J79" i="6"/>
  <c r="C79" i="6" s="1"/>
  <c r="D79" i="6" s="1"/>
  <c r="J80" i="6"/>
  <c r="C80" i="6" s="1"/>
  <c r="D80" i="6" s="1"/>
  <c r="J81" i="6"/>
  <c r="C81" i="6" s="1"/>
  <c r="J82" i="6"/>
  <c r="C82" i="6" s="1"/>
  <c r="D82" i="6" s="1"/>
  <c r="J83" i="6"/>
  <c r="C83" i="6" s="1"/>
  <c r="D83" i="6" s="1"/>
  <c r="J84" i="6"/>
  <c r="C84" i="6" s="1"/>
  <c r="D84" i="6" s="1"/>
  <c r="J85" i="6"/>
  <c r="C85" i="6" s="1"/>
  <c r="J86" i="6"/>
  <c r="C86" i="6" s="1"/>
  <c r="D86" i="6" s="1"/>
  <c r="J87" i="6"/>
  <c r="C87" i="6" s="1"/>
  <c r="J88" i="6"/>
  <c r="C88" i="6" s="1"/>
  <c r="D88" i="6" s="1"/>
  <c r="J89" i="6"/>
  <c r="C89" i="6" s="1"/>
  <c r="J90" i="6"/>
  <c r="C90" i="6" s="1"/>
  <c r="D90" i="6" s="1"/>
  <c r="J91" i="6"/>
  <c r="C91" i="6" s="1"/>
  <c r="D91" i="6" s="1"/>
  <c r="J92" i="6"/>
  <c r="C92" i="6" s="1"/>
  <c r="D92" i="6" s="1"/>
  <c r="J93" i="6"/>
  <c r="C93" i="6" s="1"/>
  <c r="J94" i="6"/>
  <c r="C94" i="6" s="1"/>
  <c r="D94" i="6" s="1"/>
  <c r="J95" i="6"/>
  <c r="C95" i="6" s="1"/>
  <c r="D95" i="6" s="1"/>
  <c r="J96" i="6"/>
  <c r="C96" i="6" s="1"/>
  <c r="J97" i="6"/>
  <c r="C97" i="6" s="1"/>
  <c r="J98" i="6"/>
  <c r="C98" i="6" s="1"/>
  <c r="D98" i="6" s="1"/>
  <c r="J99" i="6"/>
  <c r="C99" i="6" s="1"/>
  <c r="D99" i="6" s="1"/>
  <c r="J100" i="6"/>
  <c r="C100" i="6" s="1"/>
  <c r="D100" i="6" s="1"/>
  <c r="J101" i="6"/>
  <c r="C101" i="6" s="1"/>
  <c r="J102" i="6"/>
  <c r="C102" i="6" s="1"/>
  <c r="D102" i="6" s="1"/>
  <c r="J103" i="6"/>
  <c r="C103" i="6" s="1"/>
  <c r="D103" i="6" s="1"/>
  <c r="J104" i="6"/>
  <c r="C104" i="6" s="1"/>
  <c r="D104" i="6" s="1"/>
  <c r="J105" i="6"/>
  <c r="C105" i="6" s="1"/>
  <c r="J106" i="6"/>
  <c r="C106" i="6" s="1"/>
  <c r="D106" i="6" s="1"/>
  <c r="J107" i="6"/>
  <c r="C107" i="6" s="1"/>
  <c r="D107" i="6" s="1"/>
  <c r="J108" i="6"/>
  <c r="C108" i="6" s="1"/>
  <c r="D108" i="6" s="1"/>
  <c r="J109" i="6"/>
  <c r="C109" i="6" s="1"/>
  <c r="J110" i="6"/>
  <c r="C110" i="6" s="1"/>
  <c r="D110" i="6" s="1"/>
  <c r="J111" i="6"/>
  <c r="C111" i="6" s="1"/>
  <c r="D111" i="6" s="1"/>
  <c r="J112" i="6"/>
  <c r="C112" i="6" s="1"/>
  <c r="D112" i="6" s="1"/>
  <c r="J113" i="6"/>
  <c r="C113" i="6" s="1"/>
  <c r="J114" i="6"/>
  <c r="C114" i="6" s="1"/>
  <c r="D114" i="6" s="1"/>
  <c r="J115" i="6"/>
  <c r="C115" i="6" s="1"/>
  <c r="D115" i="6" s="1"/>
  <c r="J116" i="6"/>
  <c r="C116" i="6" s="1"/>
  <c r="D116" i="6" s="1"/>
  <c r="J117" i="6"/>
  <c r="C117" i="6" s="1"/>
  <c r="J118" i="6"/>
  <c r="C118" i="6" s="1"/>
  <c r="D118" i="6" s="1"/>
  <c r="J119" i="6"/>
  <c r="C119" i="6" s="1"/>
  <c r="D119" i="6" s="1"/>
  <c r="J120" i="6"/>
  <c r="C120" i="6" s="1"/>
  <c r="D120" i="6" s="1"/>
  <c r="J121" i="6"/>
  <c r="C121" i="6" s="1"/>
  <c r="J122" i="6"/>
  <c r="C122" i="6" s="1"/>
  <c r="D122" i="6" s="1"/>
  <c r="J123" i="6"/>
  <c r="C123" i="6" s="1"/>
  <c r="D123" i="6" s="1"/>
  <c r="J124" i="6"/>
  <c r="C124" i="6" s="1"/>
  <c r="D124" i="6" s="1"/>
  <c r="J125" i="6"/>
  <c r="C125" i="6" s="1"/>
  <c r="J126" i="6"/>
  <c r="C126" i="6" s="1"/>
  <c r="D126" i="6" s="1"/>
  <c r="J127" i="6"/>
  <c r="C127" i="6" s="1"/>
  <c r="D127" i="6" s="1"/>
  <c r="J128" i="6"/>
  <c r="C128" i="6" s="1"/>
  <c r="D128" i="6" s="1"/>
  <c r="J129" i="6"/>
  <c r="C129" i="6" s="1"/>
  <c r="J130" i="6"/>
  <c r="C130" i="6" s="1"/>
  <c r="D130" i="6" s="1"/>
  <c r="J131" i="6"/>
  <c r="C131" i="6" s="1"/>
  <c r="D131" i="6" s="1"/>
  <c r="J132" i="6"/>
  <c r="C132" i="6" s="1"/>
  <c r="D132" i="6" s="1"/>
  <c r="J133" i="6"/>
  <c r="C133" i="6" s="1"/>
  <c r="J134" i="6"/>
  <c r="C134" i="6" s="1"/>
  <c r="D134" i="6" s="1"/>
  <c r="J135" i="6"/>
  <c r="C135" i="6" s="1"/>
  <c r="D135" i="6" s="1"/>
  <c r="J136" i="6"/>
  <c r="C136" i="6" s="1"/>
  <c r="D136" i="6" s="1"/>
  <c r="J137" i="6"/>
  <c r="C137" i="6" s="1"/>
  <c r="J138" i="6"/>
  <c r="C138" i="6" s="1"/>
  <c r="D138" i="6" s="1"/>
  <c r="J139" i="6"/>
  <c r="C139" i="6" s="1"/>
  <c r="D139" i="6" s="1"/>
  <c r="J140" i="6"/>
  <c r="C140" i="6" s="1"/>
  <c r="D140" i="6" s="1"/>
  <c r="J141" i="6"/>
  <c r="C141" i="6" s="1"/>
  <c r="J142" i="6"/>
  <c r="C142" i="6" s="1"/>
  <c r="D142" i="6" s="1"/>
  <c r="J143" i="6"/>
  <c r="C143" i="6" s="1"/>
  <c r="D143" i="6" s="1"/>
  <c r="J144" i="6"/>
  <c r="C144" i="6" s="1"/>
  <c r="D144" i="6" s="1"/>
  <c r="J145" i="6"/>
  <c r="C145" i="6" s="1"/>
  <c r="J146" i="6"/>
  <c r="C146" i="6" s="1"/>
  <c r="D146" i="6" s="1"/>
  <c r="J147" i="6"/>
  <c r="C147" i="6" s="1"/>
  <c r="D147" i="6" s="1"/>
  <c r="J148" i="6"/>
  <c r="C148" i="6" s="1"/>
  <c r="D148" i="6" s="1"/>
  <c r="J149" i="6"/>
  <c r="C149" i="6" s="1"/>
  <c r="J150" i="6"/>
  <c r="C150" i="6" s="1"/>
  <c r="D150" i="6" s="1"/>
  <c r="J151" i="6"/>
  <c r="C151" i="6" s="1"/>
  <c r="D151" i="6" s="1"/>
  <c r="J152" i="6"/>
  <c r="C152" i="6" s="1"/>
  <c r="D152" i="6" s="1"/>
  <c r="J153" i="6"/>
  <c r="C153" i="6" s="1"/>
  <c r="J154" i="6"/>
  <c r="C154" i="6" s="1"/>
  <c r="D154" i="6" s="1"/>
  <c r="J155" i="6"/>
  <c r="C155" i="6" s="1"/>
  <c r="D155" i="6" s="1"/>
  <c r="J156" i="6"/>
  <c r="C156" i="6" s="1"/>
  <c r="D156" i="6" s="1"/>
  <c r="J157" i="6"/>
  <c r="C157" i="6" s="1"/>
  <c r="J158" i="6"/>
  <c r="C158" i="6" s="1"/>
  <c r="D158" i="6" s="1"/>
  <c r="J159" i="6"/>
  <c r="C159" i="6" s="1"/>
  <c r="D159" i="6" s="1"/>
  <c r="J160" i="6"/>
  <c r="C160" i="6" s="1"/>
  <c r="J161" i="6"/>
  <c r="C161" i="6" s="1"/>
  <c r="J162" i="6"/>
  <c r="C162" i="6" s="1"/>
  <c r="D162" i="6" s="1"/>
  <c r="J163" i="6"/>
  <c r="C163" i="6" s="1"/>
  <c r="D163" i="6" s="1"/>
  <c r="J164" i="6"/>
  <c r="C164" i="6" s="1"/>
  <c r="D164" i="6" s="1"/>
  <c r="J165" i="6"/>
  <c r="C165" i="6" s="1"/>
  <c r="J166" i="6"/>
  <c r="C166" i="6" s="1"/>
  <c r="D166" i="6" s="1"/>
  <c r="J167" i="6"/>
  <c r="C167" i="6" s="1"/>
  <c r="D167" i="6" s="1"/>
  <c r="J168" i="6"/>
  <c r="C168" i="6" s="1"/>
  <c r="D168" i="6" s="1"/>
  <c r="J169" i="6"/>
  <c r="C169" i="6" s="1"/>
  <c r="J170" i="6"/>
  <c r="C170" i="6" s="1"/>
  <c r="D170" i="6" s="1"/>
  <c r="J171" i="6"/>
  <c r="C171" i="6" s="1"/>
  <c r="J172" i="6"/>
  <c r="C172" i="6" s="1"/>
  <c r="D172" i="6" s="1"/>
  <c r="J173" i="6"/>
  <c r="C173" i="6" s="1"/>
  <c r="J174" i="6"/>
  <c r="C174" i="6" s="1"/>
  <c r="D174" i="6" s="1"/>
  <c r="J175" i="6"/>
  <c r="C175" i="6" s="1"/>
  <c r="J176" i="6"/>
  <c r="C176" i="6" s="1"/>
  <c r="D176" i="6" s="1"/>
  <c r="J177" i="6"/>
  <c r="C177" i="6" s="1"/>
  <c r="J178" i="6"/>
  <c r="C178" i="6" s="1"/>
  <c r="D178" i="6" s="1"/>
  <c r="J179" i="6"/>
  <c r="C179" i="6" s="1"/>
  <c r="J180" i="6"/>
  <c r="C180" i="6" s="1"/>
  <c r="D180" i="6" s="1"/>
  <c r="J181" i="6"/>
  <c r="C181" i="6" s="1"/>
  <c r="J182" i="6"/>
  <c r="C182" i="6" s="1"/>
  <c r="D182" i="6" s="1"/>
  <c r="J183" i="6"/>
  <c r="C183" i="6" s="1"/>
  <c r="J184" i="6"/>
  <c r="C184" i="6" s="1"/>
  <c r="D184" i="6" s="1"/>
  <c r="J185" i="6"/>
  <c r="C185" i="6" s="1"/>
  <c r="J186" i="6"/>
  <c r="C186" i="6" s="1"/>
  <c r="D186" i="6" s="1"/>
  <c r="J187" i="6"/>
  <c r="C187" i="6" s="1"/>
  <c r="J188" i="6"/>
  <c r="C188" i="6" s="1"/>
  <c r="D188" i="6" s="1"/>
  <c r="J189" i="6"/>
  <c r="C189" i="6" s="1"/>
  <c r="J190" i="6"/>
  <c r="C190" i="6" s="1"/>
  <c r="D190" i="6" s="1"/>
  <c r="J191" i="6"/>
  <c r="C191" i="6" s="1"/>
  <c r="J192" i="6"/>
  <c r="C192" i="6" s="1"/>
  <c r="D192" i="6" s="1"/>
  <c r="J193" i="6"/>
  <c r="C193" i="6" s="1"/>
  <c r="J194" i="6"/>
  <c r="C194" i="6" s="1"/>
  <c r="D194" i="6" s="1"/>
  <c r="J195" i="6"/>
  <c r="C195" i="6" s="1"/>
  <c r="J196" i="6"/>
  <c r="C196" i="6" s="1"/>
  <c r="D196" i="6" s="1"/>
  <c r="J197" i="6"/>
  <c r="C197" i="6" s="1"/>
  <c r="J198" i="6"/>
  <c r="C198" i="6" s="1"/>
  <c r="D198" i="6" s="1"/>
  <c r="J199" i="6"/>
  <c r="C199" i="6" s="1"/>
  <c r="J200" i="6"/>
  <c r="C200" i="6" s="1"/>
  <c r="D200" i="6" s="1"/>
  <c r="J201" i="6"/>
  <c r="C201" i="6" s="1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D160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D96" i="6"/>
  <c r="A96" i="6"/>
  <c r="A95" i="6"/>
  <c r="A94" i="6"/>
  <c r="A93" i="6"/>
  <c r="A92" i="6"/>
  <c r="A91" i="6"/>
  <c r="A90" i="6"/>
  <c r="A89" i="6"/>
  <c r="A88" i="6"/>
  <c r="D87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D72" i="6"/>
  <c r="A72" i="6"/>
  <c r="A71" i="6"/>
  <c r="A70" i="6"/>
  <c r="A69" i="6"/>
  <c r="D68" i="6"/>
  <c r="A68" i="6"/>
  <c r="A67" i="6"/>
  <c r="A66" i="6"/>
  <c r="A65" i="6"/>
  <c r="A64" i="6"/>
  <c r="A63" i="6"/>
  <c r="A62" i="6"/>
  <c r="A61" i="6"/>
  <c r="A60" i="6"/>
  <c r="A59" i="6"/>
  <c r="A58" i="6"/>
  <c r="A57" i="6"/>
  <c r="D56" i="6"/>
  <c r="A56" i="6"/>
  <c r="A55" i="6"/>
  <c r="A54" i="6"/>
  <c r="A53" i="6"/>
  <c r="D52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D32" i="6"/>
  <c r="A32" i="6"/>
  <c r="A31" i="6"/>
  <c r="A30" i="6"/>
  <c r="A29" i="6"/>
  <c r="A28" i="6"/>
  <c r="A27" i="6"/>
  <c r="A26" i="6"/>
  <c r="A25" i="6"/>
  <c r="D24" i="6"/>
  <c r="A24" i="6"/>
  <c r="A23" i="6"/>
  <c r="A22" i="6"/>
  <c r="A21" i="6"/>
  <c r="A20" i="6"/>
  <c r="A19" i="6"/>
  <c r="A18" i="6"/>
  <c r="A17" i="6"/>
  <c r="D16" i="6"/>
  <c r="A16" i="6"/>
  <c r="A15" i="6"/>
  <c r="A14" i="6"/>
  <c r="A13" i="6"/>
  <c r="A12" i="6"/>
  <c r="A11" i="6"/>
  <c r="A10" i="6"/>
  <c r="A9" i="6"/>
  <c r="D8" i="6"/>
  <c r="A8" i="6"/>
  <c r="A7" i="6"/>
  <c r="A6" i="6"/>
  <c r="A5" i="6"/>
  <c r="A4" i="6"/>
  <c r="A3" i="6"/>
  <c r="A2" i="6"/>
  <c r="B168" i="4" a="1"/>
  <c r="B168" i="4" s="1"/>
  <c r="C168" i="4" s="1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C198" i="4"/>
  <c r="C195" i="4"/>
  <c r="C194" i="4"/>
  <c r="C191" i="4"/>
  <c r="C190" i="4"/>
  <c r="C186" i="4"/>
  <c r="C182" i="4"/>
  <c r="C179" i="4"/>
  <c r="C178" i="4"/>
  <c r="C175" i="4"/>
  <c r="C174" i="4"/>
  <c r="C170" i="4"/>
  <c r="C167" i="4"/>
  <c r="C166" i="4"/>
  <c r="C163" i="4"/>
  <c r="C162" i="4"/>
  <c r="C158" i="4"/>
  <c r="C154" i="4"/>
  <c r="C151" i="4"/>
  <c r="C150" i="4"/>
  <c r="C147" i="4"/>
  <c r="C146" i="4"/>
  <c r="C142" i="4"/>
  <c r="C138" i="4"/>
  <c r="C135" i="4"/>
  <c r="C134" i="4"/>
  <c r="C131" i="4"/>
  <c r="C130" i="4"/>
  <c r="C126" i="4"/>
  <c r="C122" i="4"/>
  <c r="C119" i="4"/>
  <c r="C118" i="4"/>
  <c r="C115" i="4"/>
  <c r="C114" i="4"/>
  <c r="C110" i="4"/>
  <c r="C106" i="4"/>
  <c r="C103" i="4"/>
  <c r="C102" i="4"/>
  <c r="C99" i="4"/>
  <c r="C98" i="4"/>
  <c r="C94" i="4"/>
  <c r="C90" i="4"/>
  <c r="C87" i="4"/>
  <c r="C86" i="4"/>
  <c r="C83" i="4"/>
  <c r="C82" i="4"/>
  <c r="C78" i="4"/>
  <c r="C74" i="4"/>
  <c r="C71" i="4"/>
  <c r="C70" i="4"/>
  <c r="C67" i="4"/>
  <c r="C66" i="4"/>
  <c r="C62" i="4"/>
  <c r="C58" i="4"/>
  <c r="C55" i="4"/>
  <c r="C54" i="4"/>
  <c r="C51" i="4"/>
  <c r="C50" i="4"/>
  <c r="C46" i="4"/>
  <c r="C42" i="4"/>
  <c r="C39" i="4"/>
  <c r="C38" i="4"/>
  <c r="C35" i="4"/>
  <c r="C34" i="4"/>
  <c r="C30" i="4"/>
  <c r="C26" i="4"/>
  <c r="C23" i="4"/>
  <c r="C22" i="4"/>
  <c r="C19" i="4"/>
  <c r="C18" i="4"/>
  <c r="C14" i="4"/>
  <c r="C10" i="4"/>
  <c r="C7" i="4"/>
  <c r="C6" i="4"/>
  <c r="C3" i="4"/>
  <c r="C2" i="4"/>
  <c r="D201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C201" i="4"/>
  <c r="C200" i="4"/>
  <c r="C199" i="4"/>
  <c r="C197" i="4"/>
  <c r="C196" i="4"/>
  <c r="C193" i="4"/>
  <c r="C192" i="4"/>
  <c r="C189" i="4"/>
  <c r="C188" i="4"/>
  <c r="C187" i="4"/>
  <c r="C185" i="4"/>
  <c r="C184" i="4"/>
  <c r="C183" i="4"/>
  <c r="C181" i="4"/>
  <c r="C180" i="4"/>
  <c r="C177" i="4"/>
  <c r="C176" i="4"/>
  <c r="C173" i="4"/>
  <c r="C172" i="4"/>
  <c r="C171" i="4"/>
  <c r="C169" i="4"/>
  <c r="C165" i="4"/>
  <c r="C164" i="4"/>
  <c r="C161" i="4"/>
  <c r="C160" i="4"/>
  <c r="C159" i="4"/>
  <c r="C157" i="4"/>
  <c r="C156" i="4"/>
  <c r="C155" i="4"/>
  <c r="C153" i="4"/>
  <c r="C152" i="4"/>
  <c r="C149" i="4"/>
  <c r="C148" i="4"/>
  <c r="C145" i="4"/>
  <c r="C144" i="4"/>
  <c r="C143" i="4"/>
  <c r="C141" i="4"/>
  <c r="C140" i="4"/>
  <c r="C139" i="4"/>
  <c r="C137" i="4"/>
  <c r="C136" i="4"/>
  <c r="C133" i="4"/>
  <c r="C132" i="4"/>
  <c r="C129" i="4"/>
  <c r="C128" i="4"/>
  <c r="C127" i="4"/>
  <c r="C125" i="4"/>
  <c r="C124" i="4"/>
  <c r="C123" i="4"/>
  <c r="C121" i="4"/>
  <c r="C120" i="4"/>
  <c r="C117" i="4"/>
  <c r="C116" i="4"/>
  <c r="C113" i="4"/>
  <c r="C112" i="4"/>
  <c r="C111" i="4"/>
  <c r="C109" i="4"/>
  <c r="C108" i="4"/>
  <c r="C107" i="4"/>
  <c r="C105" i="4"/>
  <c r="C104" i="4"/>
  <c r="C101" i="4"/>
  <c r="C100" i="4"/>
  <c r="C97" i="4"/>
  <c r="C96" i="4"/>
  <c r="C95" i="4"/>
  <c r="C93" i="4"/>
  <c r="C92" i="4"/>
  <c r="C91" i="4"/>
  <c r="C89" i="4"/>
  <c r="C88" i="4"/>
  <c r="C85" i="4"/>
  <c r="C84" i="4"/>
  <c r="C81" i="4"/>
  <c r="C80" i="4"/>
  <c r="C79" i="4"/>
  <c r="C77" i="4"/>
  <c r="C76" i="4"/>
  <c r="C75" i="4"/>
  <c r="C73" i="4"/>
  <c r="C72" i="4"/>
  <c r="C69" i="4"/>
  <c r="C68" i="4"/>
  <c r="C65" i="4"/>
  <c r="C64" i="4"/>
  <c r="C63" i="4"/>
  <c r="C61" i="4"/>
  <c r="C60" i="4"/>
  <c r="C59" i="4"/>
  <c r="C57" i="4"/>
  <c r="C56" i="4"/>
  <c r="C53" i="4"/>
  <c r="C52" i="4"/>
  <c r="C49" i="4"/>
  <c r="C48" i="4"/>
  <c r="C47" i="4"/>
  <c r="C45" i="4"/>
  <c r="C44" i="4"/>
  <c r="C43" i="4"/>
  <c r="C41" i="4"/>
  <c r="C40" i="4"/>
  <c r="C37" i="4"/>
  <c r="C36" i="4"/>
  <c r="C33" i="4"/>
  <c r="C32" i="4"/>
  <c r="C31" i="4"/>
  <c r="C29" i="4"/>
  <c r="C28" i="4"/>
  <c r="C27" i="4"/>
  <c r="C25" i="4"/>
  <c r="C24" i="4"/>
  <c r="C21" i="4"/>
  <c r="C20" i="4"/>
  <c r="C17" i="4"/>
  <c r="C16" i="4"/>
  <c r="C15" i="4"/>
  <c r="C13" i="4"/>
  <c r="C12" i="4"/>
  <c r="C11" i="4"/>
  <c r="C9" i="4"/>
  <c r="C8" i="4"/>
  <c r="C5" i="4"/>
  <c r="C4" i="4"/>
  <c r="A29" i="10" l="1"/>
  <c r="A23" i="10"/>
  <c r="D201" i="6"/>
  <c r="D197" i="6"/>
  <c r="D193" i="6"/>
  <c r="D189" i="6"/>
  <c r="D185" i="6"/>
  <c r="D181" i="6"/>
  <c r="D177" i="6"/>
  <c r="D173" i="6"/>
  <c r="D169" i="6"/>
  <c r="D165" i="6"/>
  <c r="D161" i="6"/>
  <c r="D157" i="6"/>
  <c r="D153" i="6"/>
  <c r="D149" i="6"/>
  <c r="D145" i="6"/>
  <c r="D141" i="6"/>
  <c r="D137" i="6"/>
  <c r="D133" i="6"/>
  <c r="D129" i="6"/>
  <c r="D125" i="6"/>
  <c r="D121" i="6"/>
  <c r="D117" i="6"/>
  <c r="D113" i="6"/>
  <c r="D109" i="6"/>
  <c r="D105" i="6"/>
  <c r="D101" i="6"/>
  <c r="D97" i="6"/>
  <c r="D93" i="6"/>
  <c r="D89" i="6"/>
  <c r="D85" i="6"/>
  <c r="D81" i="6"/>
  <c r="D77" i="6"/>
  <c r="D73" i="6"/>
  <c r="D69" i="6"/>
  <c r="D65" i="6"/>
  <c r="D61" i="6"/>
  <c r="D57" i="6"/>
  <c r="D53" i="6"/>
  <c r="D49" i="6"/>
  <c r="D45" i="6"/>
  <c r="D41" i="6"/>
  <c r="D37" i="6"/>
  <c r="D33" i="6"/>
  <c r="D29" i="6"/>
  <c r="D25" i="6"/>
  <c r="D21" i="6"/>
  <c r="D17" i="6"/>
  <c r="D13" i="6"/>
  <c r="D9" i="6"/>
  <c r="D5" i="6"/>
  <c r="D171" i="6"/>
  <c r="D175" i="6"/>
  <c r="D179" i="6"/>
  <c r="D183" i="6"/>
  <c r="D187" i="6"/>
  <c r="D191" i="6"/>
  <c r="D195" i="6"/>
  <c r="D199" i="6"/>
  <c r="D3" i="6"/>
  <c r="D7" i="6"/>
  <c r="D11" i="6"/>
  <c r="D15" i="6"/>
  <c r="D19" i="6"/>
  <c r="D23" i="6"/>
  <c r="D27" i="6"/>
  <c r="D31" i="6"/>
  <c r="D35" i="6"/>
  <c r="D39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<sst xmlns="http://schemas.openxmlformats.org/spreadsheetml/2006/main" count="2443" uniqueCount="175">
  <si>
    <t>ID_Venda</t>
  </si>
  <si>
    <t>Data</t>
  </si>
  <si>
    <t>Cliente</t>
  </si>
  <si>
    <t>Produto</t>
  </si>
  <si>
    <t>Quantidade</t>
  </si>
  <si>
    <t>Preço_Unitário</t>
  </si>
  <si>
    <t>Cidade</t>
  </si>
  <si>
    <t>2024-01-07</t>
  </si>
  <si>
    <t>Obras Silva</t>
  </si>
  <si>
    <t>Cal Hidratada</t>
  </si>
  <si>
    <t>Osasco</t>
  </si>
  <si>
    <t>2024-01-08</t>
  </si>
  <si>
    <t>Construtora Alfa</t>
  </si>
  <si>
    <t>Campinas</t>
  </si>
  <si>
    <t>2024-03-12</t>
  </si>
  <si>
    <t>Brita 30kg</t>
  </si>
  <si>
    <t>dez</t>
  </si>
  <si>
    <t>Guarulhos</t>
  </si>
  <si>
    <t>2024-04-07</t>
  </si>
  <si>
    <t>Tinta 18L</t>
  </si>
  <si>
    <t>2024-04-06</t>
  </si>
  <si>
    <t>São Paulo</t>
  </si>
  <si>
    <t>2024-07-16</t>
  </si>
  <si>
    <t>Areia 20kg</t>
  </si>
  <si>
    <t>2024-02-11</t>
  </si>
  <si>
    <t>2024-05-16</t>
  </si>
  <si>
    <t>Construtora Beta</t>
  </si>
  <si>
    <t>2024-07-15</t>
  </si>
  <si>
    <t>2024-05-25</t>
  </si>
  <si>
    <t>2024-03-04</t>
  </si>
  <si>
    <t>2024-02-05</t>
  </si>
  <si>
    <t>Canos PVC</t>
  </si>
  <si>
    <t>2024-06-23</t>
  </si>
  <si>
    <t>Cliente Final</t>
  </si>
  <si>
    <t>2024-05-21</t>
  </si>
  <si>
    <t>R$ 30</t>
  </si>
  <si>
    <t>2024-02-10</t>
  </si>
  <si>
    <t>Cimento 50kg</t>
  </si>
  <si>
    <t>2024-06-12</t>
  </si>
  <si>
    <t>2024-01-05</t>
  </si>
  <si>
    <t>2024-01-18</t>
  </si>
  <si>
    <t>2024-06-04</t>
  </si>
  <si>
    <t>2024-04-22</t>
  </si>
  <si>
    <t>2024-02-28</t>
  </si>
  <si>
    <t>2024-03-25</t>
  </si>
  <si>
    <t>2024-05-26</t>
  </si>
  <si>
    <t>2024-03-31</t>
  </si>
  <si>
    <t>Metais</t>
  </si>
  <si>
    <t>2024-03-27</t>
  </si>
  <si>
    <t>Santos</t>
  </si>
  <si>
    <t>2024-04-28</t>
  </si>
  <si>
    <t>2024-03-01</t>
  </si>
  <si>
    <t>2024-01-01</t>
  </si>
  <si>
    <t>Argamassa AC2</t>
  </si>
  <si>
    <t>2024-02-25</t>
  </si>
  <si>
    <t>2024-05-15</t>
  </si>
  <si>
    <t>2024-04-13</t>
  </si>
  <si>
    <t>2024-05-13</t>
  </si>
  <si>
    <t>2024-03-17</t>
  </si>
  <si>
    <t>2024-05-09</t>
  </si>
  <si>
    <t>2024-05-19</t>
  </si>
  <si>
    <t>2024-01-28</t>
  </si>
  <si>
    <t>2024-03-08</t>
  </si>
  <si>
    <t>2024-06-25</t>
  </si>
  <si>
    <t>2024-03-19</t>
  </si>
  <si>
    <t>2024-04-14</t>
  </si>
  <si>
    <t>2024-03-26</t>
  </si>
  <si>
    <t>2024-04-30</t>
  </si>
  <si>
    <t>2024-04-12</t>
  </si>
  <si>
    <t>2024-05-17</t>
  </si>
  <si>
    <t>2024-04-21</t>
  </si>
  <si>
    <t>2024-02-01</t>
  </si>
  <si>
    <t>2024-04-17</t>
  </si>
  <si>
    <t>2024-04-20</t>
  </si>
  <si>
    <t>2024-07-07</t>
  </si>
  <si>
    <t>2024-02-20</t>
  </si>
  <si>
    <t>2024-06-10</t>
  </si>
  <si>
    <t>2024-07-11</t>
  </si>
  <si>
    <t>2024-03-10</t>
  </si>
  <si>
    <t>2024-06-29</t>
  </si>
  <si>
    <t>2024-04-09</t>
  </si>
  <si>
    <t>2024-06-18</t>
  </si>
  <si>
    <t>2024-03-24</t>
  </si>
  <si>
    <t>2024-06-20</t>
  </si>
  <si>
    <t>2024-07-10</t>
  </si>
  <si>
    <t>2024-01-31</t>
  </si>
  <si>
    <t>2024-01-04</t>
  </si>
  <si>
    <t>2024-02-15</t>
  </si>
  <si>
    <t>2024-01-23</t>
  </si>
  <si>
    <t>2024-02-16</t>
  </si>
  <si>
    <t>2024-01-22</t>
  </si>
  <si>
    <t>2024-01-24</t>
  </si>
  <si>
    <t>2024-03-29</t>
  </si>
  <si>
    <t>2024-07-13</t>
  </si>
  <si>
    <t>2024-06-30</t>
  </si>
  <si>
    <t>2024-01-14</t>
  </si>
  <si>
    <t>2024-04-16</t>
  </si>
  <si>
    <t>2024-04-19</t>
  </si>
  <si>
    <t>2024-01-19</t>
  </si>
  <si>
    <t>2024-03-09</t>
  </si>
  <si>
    <t>2024-06-03</t>
  </si>
  <si>
    <t>2024-05-27</t>
  </si>
  <si>
    <t>2024-05-05</t>
  </si>
  <si>
    <t>2024-06-26</t>
  </si>
  <si>
    <t>2024-07-12</t>
  </si>
  <si>
    <t>2024-06-27</t>
  </si>
  <si>
    <t>2024-03-15</t>
  </si>
  <si>
    <t>2024-04-08</t>
  </si>
  <si>
    <t>2024-05-03</t>
  </si>
  <si>
    <t>2024-03-02</t>
  </si>
  <si>
    <t>2024-01-20</t>
  </si>
  <si>
    <t>2024-03-14</t>
  </si>
  <si>
    <t>2024-05-07</t>
  </si>
  <si>
    <t>2024-04-29</t>
  </si>
  <si>
    <t>2024-04-18</t>
  </si>
  <si>
    <t>2024-07-18</t>
  </si>
  <si>
    <t>2024-06-07</t>
  </si>
  <si>
    <t>2024-07-06</t>
  </si>
  <si>
    <t>2024-05-18</t>
  </si>
  <si>
    <t>2024-03-16</t>
  </si>
  <si>
    <t>2024-04-11</t>
  </si>
  <si>
    <t>2024-05-23</t>
  </si>
  <si>
    <t>2024-04-26</t>
  </si>
  <si>
    <t>2024-04-04</t>
  </si>
  <si>
    <t>2024-06-13</t>
  </si>
  <si>
    <t>2024-07-14</t>
  </si>
  <si>
    <t>2024-06-01</t>
  </si>
  <si>
    <t>2024-02-02</t>
  </si>
  <si>
    <t>2024-04-25</t>
  </si>
  <si>
    <t>2024-05-20</t>
  </si>
  <si>
    <t>2024-01-30</t>
  </si>
  <si>
    <t>2024-06-24</t>
  </si>
  <si>
    <t>2024-02-03</t>
  </si>
  <si>
    <t>2024-02-27</t>
  </si>
  <si>
    <t>2024-06-11</t>
  </si>
  <si>
    <t>2024-03-20</t>
  </si>
  <si>
    <t>2024-06-02</t>
  </si>
  <si>
    <t>2024-05-14</t>
  </si>
  <si>
    <t>2024-03-06</t>
  </si>
  <si>
    <t>2024-06-09</t>
  </si>
  <si>
    <t>2024-03-28</t>
  </si>
  <si>
    <t>2024-06-05</t>
  </si>
  <si>
    <t>2024-06-17</t>
  </si>
  <si>
    <t>2024-06-16</t>
  </si>
  <si>
    <t>2024-01-21</t>
  </si>
  <si>
    <t>2024-02-08</t>
  </si>
  <si>
    <t>2024-02-17</t>
  </si>
  <si>
    <t>2024-01-12</t>
  </si>
  <si>
    <t>2024-02-18</t>
  </si>
  <si>
    <t>2024-07-09</t>
  </si>
  <si>
    <t>2024-05-12</t>
  </si>
  <si>
    <t>2024-01-27</t>
  </si>
  <si>
    <t>2024-03-30</t>
  </si>
  <si>
    <t>2024-01-17</t>
  </si>
  <si>
    <t>Sequencia_Correta</t>
  </si>
  <si>
    <t>Status _Linha</t>
  </si>
  <si>
    <t>Tipo_Erro</t>
  </si>
  <si>
    <t>COMPLETA</t>
  </si>
  <si>
    <t>Preços_Corrigidos</t>
  </si>
  <si>
    <t>Status_Final</t>
  </si>
  <si>
    <t>Status_Dados</t>
  </si>
  <si>
    <t>OK</t>
  </si>
  <si>
    <t>Novo_ID</t>
  </si>
  <si>
    <t>Valor_Total</t>
  </si>
  <si>
    <t>VALOR TOTAL</t>
  </si>
  <si>
    <t>QUANT. MÉDIA DE VENDA</t>
  </si>
  <si>
    <t>TICKET MÉDIO</t>
  </si>
  <si>
    <t>QUANT. TOTAL VENDIDA</t>
  </si>
  <si>
    <t>Rótulos de Linha</t>
  </si>
  <si>
    <t>Total Geral</t>
  </si>
  <si>
    <t>Soma de Valor_Total</t>
  </si>
  <si>
    <t>Soma de Quantidade</t>
  </si>
  <si>
    <t>KPIs</t>
  </si>
  <si>
    <t>Gráficos</t>
  </si>
  <si>
    <t>Tabelas dinâmicas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</si>
</sst>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14" fontId="0" fillId="0" borderId="0" xfId="0" applyNumberFormat="1"/>
    <xf numFmtId="0" fontId="0" fillId="0" borderId="0" xfId="1" applyNumberFormat="1" applyFont="1"/>
    <xf numFmtId="44" fontId="0" fillId="0" borderId="0" xfId="1" applyFont="1"/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44" fontId="0" fillId="0" borderId="0" xfId="0" applyNumberFormat="1"/>
    <xf numFmtId="0" fontId="4" fillId="0" borderId="0" xfId="0" applyFont="1"/>
    <xf numFmtId="44" fontId="4" fillId="0" borderId="0" xfId="0" applyNumberFormat="1" applyFont="1"/>
    <xf numFmtId="2" fontId="4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5" fillId="0" borderId="0" xfId="0" applyFont="1"/>
  </cellXfs>
  <cellStyles count="2">
    <cellStyle name="Moeda" xfId="1" builtinId="4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[banco_dados_analise.xlsx]Dados_Limpos!Tabela dinâmica1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Vendas por produto - Top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Dados_Limpos!$J$22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Dados_Limpos!$I$23:$I$27</c:f>
              <c:strCache>
                <c:ptCount val="5"/>
                <c:pt idx="0">
                  <c:v>Areia 20kg</c:v>
                </c:pt>
                <c:pt idx="1">
                  <c:v>Cimento 50kg</c:v>
                </c:pt>
                <c:pt idx="2">
                  <c:v>Tinta 18L</c:v>
                </c:pt>
                <c:pt idx="3">
                  <c:v>Metais</c:v>
                </c:pt>
                <c:pt idx="4">
                  <c:v>Canos PVC</c:v>
                </c:pt>
              </c:strCache>
            </c:strRef>
          </c:cat>
          <c:val>
            <c:numRef>
              <c:f>Dados_Limpos!$J$23:$J$27</c:f>
              <c:numCache>
                <c:formatCode>_("R$"* #,##0.00_);_("R$"* \(#,##0.00\);_("R$"* "-"??_);_(@_)</c:formatCode>
                <c:ptCount val="5"/>
                <c:pt idx="0">
                  <c:v>12210.29</c:v>
                </c:pt>
                <c:pt idx="1">
                  <c:v>7561.72</c:v>
                </c:pt>
                <c:pt idx="2">
                  <c:v>5907.4</c:v>
                </c:pt>
                <c:pt idx="3">
                  <c:v>5763.55</c:v>
                </c:pt>
                <c:pt idx="4">
                  <c:v>4827.3999999999996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BF-4E93-8B67-1F2C58190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666832"/>
        <c:axId val="138667312"/>
      </c:barChart>
      <c:catAx>
        <c:axId val="13866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667312"/>
        <c:crosses val="autoZero"/>
        <c:auto val="1"/>
        <c:lblAlgn val="ctr"/>
        <c:lblOffset val="100"/>
        <c:noMultiLvlLbl val="0"/>
      </c:catAx>
      <c:valAx>
        <c:axId val="13866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66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[banco_dados_analise.xlsx]Dados_Limpos!Tabela dinâmica2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Quantidade total de produtos vendidos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Dados_Limpos!$J$29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Dados_Limpos!$I$30:$I$36</c:f>
              <c:strCache>
                <c:ptCount val="7"/>
                <c:pt idx="0">
                  <c:v>Areia 20kg</c:v>
                </c:pt>
                <c:pt idx="1">
                  <c:v>Cimento 50kg</c:v>
                </c:pt>
                <c:pt idx="2">
                  <c:v>Metais</c:v>
                </c:pt>
                <c:pt idx="3">
                  <c:v>Tinta 18L</c:v>
                </c:pt>
                <c:pt idx="4">
                  <c:v>Canos PVC</c:v>
                </c:pt>
                <c:pt idx="5">
                  <c:v>Cal Hidratada</c:v>
                </c:pt>
                <c:pt idx="6">
                  <c:v>Brita 30kg</c:v>
                </c:pt>
              </c:strCache>
            </c:strRef>
          </c:cat>
          <c:val>
            <c:numRef>
              <c:f>Dados_Limpos!$J$30:$J$36</c:f>
              <c:numCache>
                <c:formatCode>General</c:formatCode>
                <c:ptCount val="7"/>
                <c:pt idx="0">
                  <c:v>55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14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9-4922-B72E-E045075A9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7851408"/>
        <c:axId val="657853808"/>
      </c:barChart>
      <c:catAx>
        <c:axId val="657851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7853808"/>
        <c:crosses val="autoZero"/>
        <c:auto val="1"/>
        <c:lblAlgn val="ctr"/>
        <c:lblOffset val="100"/>
        <c:noMultiLvlLbl val="0"/>
      </c:catAx>
      <c:valAx>
        <c:axId val="657853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785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[banco_dados_analise.xlsx]Dados_Limpos!Tabela dinâmica4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Faturamento</a:t>
            </a:r>
            <a:r>
              <a:rPr lang="en-US" baseline="0"/>
              <a:t> por cidade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Dados_Limpos!$J$38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Dados_Limpos!$I$39:$I$44</c:f>
              <c:strCache>
                <c:ptCount val="5"/>
                <c:pt idx="0">
                  <c:v>Guarulhos</c:v>
                </c:pt>
                <c:pt idx="1">
                  <c:v>Osasco</c:v>
                </c:pt>
                <c:pt idx="2">
                  <c:v>São Paulo</c:v>
                </c:pt>
                <c:pt idx="3">
                  <c:v>Santos</c:v>
                </c:pt>
                <c:pt idx="4">
                  <c:v>Campinas</c:v>
                </c:pt>
              </c:strCache>
            </c:strRef>
          </c:cat>
          <c:val>
            <c:numRef>
              <c:f>Dados_Limpos!$J$39:$J$44</c:f>
              <c:numCache>
                <c:formatCode>_("R$"* #,##0.00_);_("R$"* \(#,##0.00\);_("R$"* "-"??_);_(@_)</c:formatCode>
                <c:ptCount val="5"/>
                <c:pt idx="0">
                  <c:v>14453.239999999998</c:v>
                </c:pt>
                <c:pt idx="1">
                  <c:v>11626.019999999999</c:v>
                </c:pt>
                <c:pt idx="2">
                  <c:v>6924.7800000000007</c:v>
                </c:pt>
                <c:pt idx="3">
                  <c:v>5356.12</c:v>
                </c:pt>
                <c:pt idx="4">
                  <c:v>2065.6999999999998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DD-4155-866D-14524132A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[banco_dados_analise.xlsx]Dados_Limpos!Tabela dinâmica5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Faturamento</a:t>
            </a:r>
            <a:r>
              <a:rPr lang="en-US" baseline="0"/>
              <a:t> por clientes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Dados_Limpos!$J$46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Dados_Limpos!$I$47:$I$51</c:f>
              <c:strCache>
                <c:ptCount val="4"/>
                <c:pt idx="0">
                  <c:v>Cliente Final</c:v>
                </c:pt>
                <c:pt idx="1">
                  <c:v>Construtora Alfa</c:v>
                </c:pt>
                <c:pt idx="2">
                  <c:v>Construtora Beta</c:v>
                </c:pt>
                <c:pt idx="3">
                  <c:v>Obras Silva</c:v>
                </c:pt>
              </c:strCache>
            </c:strRef>
          </c:cat>
          <c:val>
            <c:numRef>
              <c:f>Dados_Limpos!$J$47:$J$51</c:f>
              <c:numCache>
                <c:formatCode>_("R$"* #,##0.00_);_("R$"* \(#,##0.00\);_("R$"* "-"??_);_(@_)</c:formatCode>
                <c:ptCount val="4"/>
                <c:pt idx="0">
                  <c:v>10221.849999999999</c:v>
                </c:pt>
                <c:pt idx="1">
                  <c:v>6367.7</c:v>
                </c:pt>
                <c:pt idx="2">
                  <c:v>13139.69</c:v>
                </c:pt>
                <c:pt idx="3">
                  <c:v>10696.619999999999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A-443C-B6AD-0C977D243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9312304"/>
        <c:axId val="649312784"/>
      </c:lineChart>
      <c:catAx>
        <c:axId val="64931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9312784"/>
        <c:crosses val="autoZero"/>
        <c:auto val="1"/>
        <c:lblAlgn val="ctr"/>
        <c:lblOffset val="100"/>
        <c:noMultiLvlLbl val="0"/>
      </c:catAx>
      <c:valAx>
        <c:axId val="64931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931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1111785</xdr:colOff>
      <xdr:row>21</xdr:row>
      <xdr:rowOff>18634</xdr:rowOff>
    </xdr:from>
    <xdr:to>
      <xdr:col>7</xdr:col>
      <xdr:colOff>181697</xdr:colOff>
      <xdr:row>31</xdr:row>
      <xdr:rowOff>21755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004BE63-4196-FCFD-3AB3-6CCF57FCE0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1135577</xdr:colOff>
      <xdr:row>31</xdr:row>
      <xdr:rowOff>234043</xdr:rowOff>
    </xdr:from>
    <xdr:to>
      <xdr:col>7</xdr:col>
      <xdr:colOff>217714</xdr:colOff>
      <xdr:row>42</xdr:row>
      <xdr:rowOff>75830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2097868-8BE2-0A4B-1A77-97BB9EEBF9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1136195</xdr:colOff>
      <xdr:row>42</xdr:row>
      <xdr:rowOff>274865</xdr:rowOff>
    </xdr:from>
    <xdr:to>
      <xdr:col>6</xdr:col>
      <xdr:colOff>387803</xdr:colOff>
      <xdr:row>52</xdr:row>
      <xdr:rowOff>24493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78CE2A8-FC87-7B10-316A-AA30165E8B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1095373</xdr:colOff>
      <xdr:row>52</xdr:row>
      <xdr:rowOff>234042</xdr:rowOff>
    </xdr:from>
    <xdr:to>
      <xdr:col>7</xdr:col>
      <xdr:colOff>54428</xdr:colOff>
      <xdr:row>62</xdr:row>
      <xdr:rowOff>217714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3D32F54-3E24-5C8E-ED03-D05D854A21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iky" refreshedDate="45978.825864120372" createdVersion="8" refreshedVersion="8" minRefreshableVersion="3" recordCount="15" xr:uid="{E63D75E7-16DD-44DF-AA71-33C09CD94F8B}">
  <cacheSource type="worksheet">
    <worksheetSource name="Tabela2"/>
  </cacheSource>
  <cacheFields count="11">
    <cacheField name="Novo_ID" numFmtId="0">
      <sharedItems containsSemiMixedTypes="0" containsString="0" containsNumber="1" containsInteger="1" minValue="1" maxValue="15"/>
    </cacheField>
    <cacheField name="ID_Venda" numFmtId="0">
      <sharedItems containsSemiMixedTypes="0" containsString="0" containsNumber="1" containsInteger="1" minValue="6" maxValue="180"/>
    </cacheField>
    <cacheField name="Status_Dados" numFmtId="0">
      <sharedItems/>
    </cacheField>
    <cacheField name="Status_Final" numFmtId="0">
      <sharedItems/>
    </cacheField>
    <cacheField name="Data" numFmtId="14">
      <sharedItems containsSemiMixedTypes="0" containsNonDate="0" containsDate="1" containsString="0" minDate="2024-01-12T00:00:00" maxDate="2024-07-16T00:00:00"/>
    </cacheField>
    <cacheField name="Cliente" numFmtId="0">
      <sharedItems count="4">
        <s v="Obras Silva"/>
        <s v="Construtora Alfa"/>
        <s v="Construtora Beta"/>
        <s v="Cliente Final"/>
      </sharedItems>
    </cacheField>
    <cacheField name="Produto" numFmtId="0">
      <sharedItems count="7">
        <s v="Tinta 18L"/>
        <s v="Cal Hidratada"/>
        <s v="Areia 20kg"/>
        <s v="Cimento 50kg"/>
        <s v="Brita 30kg"/>
        <s v="Canos PVC"/>
        <s v="Metais"/>
      </sharedItems>
    </cacheField>
    <cacheField name="Quantidade" numFmtId="0">
      <sharedItems containsSemiMixedTypes="0" containsString="0" containsNumber="1" containsInteger="1" minValue="3" maxValue="17"/>
    </cacheField>
    <cacheField name="Preço_Unitário" numFmtId="44">
      <sharedItems containsSemiMixedTypes="0" containsString="0" containsNumber="1" minValue="30" maxValue="427.16"/>
    </cacheField>
    <cacheField name="Valor_Total" numFmtId="44">
      <sharedItems containsSemiMixedTypes="0" containsString="0" containsNumber="1" minValue="300" maxValue="7261.72"/>
    </cacheField>
    <cacheField name="Cidade" numFmtId="0">
      <sharedItems count="5">
        <s v="Osasco"/>
        <s v="Campinas"/>
        <s v="São Paulo"/>
        <s v="Guarulhos"/>
        <s v="Santo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n v="6"/>
    <s v="COMPLETA"/>
    <s v="OK"/>
    <d v="2024-02-11T00:00:00"/>
    <x v="0"/>
    <x v="0"/>
    <n v="10"/>
    <n v="353.89"/>
    <n v="3538.8999999999996"/>
    <x v="0"/>
  </r>
  <r>
    <n v="2"/>
    <n v="8"/>
    <s v="COMPLETA"/>
    <s v="OK"/>
    <d v="2024-07-15T00:00:00"/>
    <x v="1"/>
    <x v="1"/>
    <n v="10"/>
    <n v="206.57"/>
    <n v="2065.6999999999998"/>
    <x v="1"/>
  </r>
  <r>
    <n v="3"/>
    <n v="13"/>
    <s v="COMPLETA"/>
    <s v="OK"/>
    <d v="2024-05-21T00:00:00"/>
    <x v="1"/>
    <x v="2"/>
    <n v="10"/>
    <n v="30"/>
    <n v="300"/>
    <x v="2"/>
  </r>
  <r>
    <n v="4"/>
    <n v="25"/>
    <s v="COMPLETA"/>
    <s v="OK"/>
    <d v="2024-04-28T00:00:00"/>
    <x v="2"/>
    <x v="2"/>
    <n v="15"/>
    <n v="34.79"/>
    <n v="521.85"/>
    <x v="2"/>
  </r>
  <r>
    <n v="5"/>
    <n v="29"/>
    <s v="COMPLETA"/>
    <s v="OK"/>
    <d v="2024-05-15T00:00:00"/>
    <x v="2"/>
    <x v="3"/>
    <n v="17"/>
    <n v="427.16"/>
    <n v="7261.72"/>
    <x v="0"/>
  </r>
  <r>
    <n v="6"/>
    <n v="32"/>
    <s v="COMPLETA"/>
    <s v="OK"/>
    <d v="2024-03-17T00:00:00"/>
    <x v="3"/>
    <x v="0"/>
    <n v="3"/>
    <n v="234.56"/>
    <n v="703.68000000000006"/>
    <x v="2"/>
  </r>
  <r>
    <n v="7"/>
    <n v="44"/>
    <s v="COMPLETA"/>
    <s v="OK"/>
    <d v="2024-05-17T00:00:00"/>
    <x v="0"/>
    <x v="3"/>
    <n v="10"/>
    <n v="30"/>
    <n v="300"/>
    <x v="2"/>
  </r>
  <r>
    <n v="8"/>
    <n v="48"/>
    <s v="COMPLETA"/>
    <s v="OK"/>
    <d v="2024-04-17T00:00:00"/>
    <x v="3"/>
    <x v="4"/>
    <n v="10"/>
    <n v="208.98"/>
    <n v="2089.7999999999997"/>
    <x v="3"/>
  </r>
  <r>
    <n v="9"/>
    <n v="64"/>
    <s v="COMPLETA"/>
    <s v="OK"/>
    <d v="2024-04-17T00:00:00"/>
    <x v="0"/>
    <x v="2"/>
    <n v="16"/>
    <n v="377.02"/>
    <n v="6032.32"/>
    <x v="3"/>
  </r>
  <r>
    <n v="10"/>
    <n v="81"/>
    <s v="COMPLETA"/>
    <s v="OK"/>
    <d v="2024-01-14T00:00:00"/>
    <x v="0"/>
    <x v="5"/>
    <n v="4"/>
    <n v="206.35"/>
    <n v="825.4"/>
    <x v="0"/>
  </r>
  <r>
    <n v="11"/>
    <n v="107"/>
    <s v="COMPLETA"/>
    <s v="OK"/>
    <d v="2024-03-14T00:00:00"/>
    <x v="2"/>
    <x v="2"/>
    <n v="14"/>
    <n v="382.58"/>
    <n v="5356.12"/>
    <x v="4"/>
  </r>
  <r>
    <n v="12"/>
    <n v="110"/>
    <s v="COMPLETA"/>
    <s v="OK"/>
    <d v="2024-03-31T00:00:00"/>
    <x v="3"/>
    <x v="6"/>
    <n v="15"/>
    <n v="339.95"/>
    <n v="5099.25"/>
    <x v="2"/>
  </r>
  <r>
    <n v="13"/>
    <n v="150"/>
    <s v="COMPLETA"/>
    <s v="OK"/>
    <d v="2024-05-27T00:00:00"/>
    <x v="3"/>
    <x v="6"/>
    <n v="10"/>
    <n v="66.430000000000007"/>
    <n v="664.30000000000007"/>
    <x v="3"/>
  </r>
  <r>
    <n v="14"/>
    <n v="156"/>
    <s v="COMPLETA"/>
    <s v="OK"/>
    <d v="2024-04-22T00:00:00"/>
    <x v="1"/>
    <x v="5"/>
    <n v="10"/>
    <n v="400.2"/>
    <n v="4002"/>
    <x v="3"/>
  </r>
  <r>
    <n v="15"/>
    <n v="180"/>
    <s v="COMPLETA"/>
    <s v="OK"/>
    <d v="2024-01-12T00:00:00"/>
    <x v="3"/>
    <x v="0"/>
    <n v="9"/>
    <n v="184.98"/>
    <n v="1664.8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49D433-7FD9-4C28-8FDF-3B914611353E}" name="Tabela dinâ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I46:J51" firstHeaderRow="1" firstDataRow="1" firstDataCol="1"/>
  <pivotFields count="11">
    <pivotField showAll="0"/>
    <pivotField showAll="0"/>
    <pivotField showAll="0"/>
    <pivotField showAll="0"/>
    <pivotField numFmtId="14"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numFmtId="44" showAll="0"/>
    <pivotField dataField="1" numFmtId="44"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Valor_Total" fld="9" baseField="0" baseItem="0" numFmtId="44"/>
  </dataFields>
  <chartFormats count="2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B7D4E5-393B-4CD8-B4EA-AB70BBEFC7B4}" name="Tabela dinâ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I38:J44" firstHeaderRow="1" firstDataRow="1" firstDataCol="1"/>
  <pivotFields count="11"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44" showAll="0"/>
    <pivotField dataField="1" numFmtId="44" showAll="0"/>
    <pivotField axis="axisRow" showAll="0" sortType="descending">
      <items count="6">
        <item x="1"/>
        <item x="3"/>
        <item x="0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0"/>
  </rowFields>
  <rowItems count="6">
    <i>
      <x v="1"/>
    </i>
    <i>
      <x v="2"/>
    </i>
    <i>
      <x v="4"/>
    </i>
    <i>
      <x v="3"/>
    </i>
    <i>
      <x/>
    </i>
    <i t="grand">
      <x/>
    </i>
  </rowItems>
  <colItems count="1">
    <i/>
  </colItems>
  <dataFields count="1">
    <dataField name="Soma de Valor_Total" fld="9" baseField="0" baseItem="0" numFmtId="44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C34B89-26F0-4530-9279-13AEEDB4260A}" name="Tabela dinâmica2" cacheId="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26">
  <location ref="I29:J36" firstHeaderRow="1" firstDataRow="1" firstDataCol="1"/>
  <pivotFields count="11">
    <pivotField showAll="0"/>
    <pivotField showAll="0"/>
    <pivotField showAll="0"/>
    <pivotField showAll="0"/>
    <pivotField numFmtId="14" showAll="0"/>
    <pivotField showAll="0"/>
    <pivotField axis="axisRow" showAll="0" sortType="descending">
      <items count="8">
        <item x="2"/>
        <item x="4"/>
        <item x="1"/>
        <item x="5"/>
        <item x="3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44" showAll="0"/>
    <pivotField numFmtId="44" showAll="0"/>
    <pivotField showAll="0"/>
  </pivotFields>
  <rowFields count="1">
    <field x="6"/>
  </rowFields>
  <rowItems count="7">
    <i>
      <x/>
    </i>
    <i>
      <x v="4"/>
    </i>
    <i>
      <x v="5"/>
    </i>
    <i>
      <x v="6"/>
    </i>
    <i>
      <x v="3"/>
    </i>
    <i>
      <x v="2"/>
    </i>
    <i>
      <x v="1"/>
    </i>
  </rowItems>
  <colItems count="1">
    <i/>
  </colItems>
  <dataFields count="1">
    <dataField name="Soma de Quantidade" fld="7" baseField="0" baseItem="0"/>
  </dataFields>
  <chartFormats count="3">
    <chartFormat chart="1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8A1E0-DCDE-4909-9E0E-54DC8D28E07C}" name="Tabela dinâmica1" cacheId="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24">
  <location ref="I22:J27" firstHeaderRow="1" firstDataRow="1" firstDataCol="1"/>
  <pivotFields count="11">
    <pivotField showAll="0"/>
    <pivotField showAll="0"/>
    <pivotField showAll="0"/>
    <pivotField showAll="0"/>
    <pivotField numFmtId="14" showAll="0"/>
    <pivotField showAll="0"/>
    <pivotField axis="axisRow" showAll="0" measureFilter="1" sortType="descending">
      <items count="8">
        <item x="2"/>
        <item x="4"/>
        <item x="1"/>
        <item x="5"/>
        <item x="3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44" showAll="0"/>
    <pivotField dataField="1" numFmtId="44" showAll="0"/>
    <pivotField showAll="0"/>
  </pivotFields>
  <rowFields count="1">
    <field x="6"/>
  </rowFields>
  <rowItems count="5">
    <i>
      <x/>
    </i>
    <i>
      <x v="4"/>
    </i>
    <i>
      <x v="6"/>
    </i>
    <i>
      <x v="5"/>
    </i>
    <i>
      <x v="3"/>
    </i>
  </rowItems>
  <colItems count="1">
    <i/>
  </colItems>
  <dataFields count="1">
    <dataField name="Soma de Valor_Total" fld="9" baseField="0" baseItem="0" numFmtId="44"/>
  </dataFields>
  <chartFormats count="1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B1B8889-E3AC-42B7-8DB9-8A06B23E9C79}" name="tbl_vendas5" displayName="tbl_vendas5" ref="A1:J201" totalsRowShown="0">
  <autoFilter ref="A1:J201" xr:uid="{4CAC84FC-4DEA-4469-85B2-B6C74010565A}"/>
  <sortState xmlns:xlrd2="http://schemas.microsoft.com/office/spreadsheetml/2017/richdata2" ref="A2:I201">
    <sortCondition ref="A1:A201"/>
  </sortState>
  <tableColumns count="10">
    <tableColumn id="8" xr3:uid="{C302A401-F048-44CD-87EB-581B51F8A799}" name="Sequencia_Correta" dataDxfId="26">
      <calculatedColumnFormula>ROW() -2</calculatedColumnFormula>
    </tableColumn>
    <tableColumn id="1" xr3:uid="{144F19B9-D02F-416F-8960-D86511ED31B5}" name="ID_Venda"/>
    <tableColumn id="10" xr3:uid="{F75DE774-8036-43A0-9925-B5154D70AF12}" name="Status _Linha" dataDxfId="25">
      <calculatedColumnFormula>IF(AND(B2&lt;&gt;"",E2&lt;&gt;"",F2&lt;&gt;"",G2&lt;&gt;"",H2&lt;&gt;"",I2&lt;&gt;"",J2&lt;&gt;""),"COMPLETA","INCOMPLETA")</calculatedColumnFormula>
    </tableColumn>
    <tableColumn id="11" xr3:uid="{8AC635DF-00E9-4741-BE01-FE876BD594EC}" name="Tipo_Erro" dataDxfId="24">
      <calculatedColumnFormula>_xlfn.TEXTJOIN("; ", TRUE,
  IF(H2="", "QUANTIDADE_VAZIA", ""),
  IF(AND(ISNUMBER(H2), H2&lt;0), "QUANTIDADE_NEGATIVA", ""),
  IF(I2="", "PRECO_VAZIA", ""),
  IF(AND(ISNUMBER(I2), I2&lt;0), "PRECO_NEGATIVO", ""),
  IF(AND(I2&lt;&gt;"", NOT(ISNUMBER(I2))), "PRECO_TEXTO", ""),
  IF(F2="", "CLIENTE_VAZIA", ""),
  IF(G2="", "PRODUTO_VAZIA", ""),
  IF(J2="", "CIDADE_VAZIA", ""),
  IF(E2="", "DATA_VAZIA", "")
)</calculatedColumnFormula>
    </tableColumn>
    <tableColumn id="2" xr3:uid="{82E253C5-3297-4DA3-A0F3-FD97D5538C11}" name="Data"/>
    <tableColumn id="3" xr3:uid="{37825125-7BF2-42CA-A791-FB9D611B31EE}" name="Cliente"/>
    <tableColumn id="4" xr3:uid="{18A12DBD-8E05-463B-AC11-424A45E1D0E2}" name="Produto"/>
    <tableColumn id="5" xr3:uid="{592D6EFF-B255-47DA-BD47-8B92370EFF39}" name="Quantidade"/>
    <tableColumn id="6" xr3:uid="{4E0C6620-5044-4B56-BDC8-FDBA37A272D3}" name="Preço_Unitário"/>
    <tableColumn id="7" xr3:uid="{9FD2DDAD-75DB-4582-90E9-A31692471B52}" name="Cidad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6D3026-06CF-4669-A1E9-063A40514C2C}" name="tbl_vendas56" displayName="tbl_vendas56" ref="A1:K201" totalsRowShown="0">
  <autoFilter ref="A1:K201" xr:uid="{4CAC84FC-4DEA-4469-85B2-B6C74010565A}"/>
  <sortState xmlns:xlrd2="http://schemas.microsoft.com/office/spreadsheetml/2017/richdata2" ref="A2:I201">
    <sortCondition ref="A1:A201"/>
  </sortState>
  <tableColumns count="11">
    <tableColumn id="8" xr3:uid="{72F9A9A1-7850-48C0-A7BA-373E7A9CF75D}" name="Sequencia_Correta" dataDxfId="23">
      <calculatedColumnFormula>ROW() -2</calculatedColumnFormula>
    </tableColumn>
    <tableColumn id="1" xr3:uid="{AD3C0635-CE97-4EF6-80AF-86EAD055CB33}" name="ID_Venda"/>
    <tableColumn id="10" xr3:uid="{D444CBF8-F3E2-4912-AC37-7F7E895B5F4B}" name="Status_Dados" dataDxfId="7">
      <calculatedColumnFormula>IF(AND(B2&lt;&gt;"",E2&lt;&gt;"",F2&lt;&gt;"",G2&lt;&gt;"",H2&lt;&gt;"",J2&lt;&gt;"",K2&lt;&gt;""),"COMPLETA","INCOMPLETA")</calculatedColumnFormula>
    </tableColumn>
    <tableColumn id="13" xr3:uid="{7A7A82BB-1D67-4574-AB4A-C2E018A1F3AA}" name="Status_Final" dataDxfId="22">
      <calculatedColumnFormula>IF(AND(C2="COMPLETA", ISNUMBER(H2), H2&gt;0, ISNUMBER(J2), J2&gt;0), "OK", "ERRO")</calculatedColumnFormula>
    </tableColumn>
    <tableColumn id="2" xr3:uid="{0A4DA12F-8E18-4510-BF75-1A2C3F8BAB8F}" name="Data"/>
    <tableColumn id="3" xr3:uid="{46765484-5396-4CD5-A9C6-8A60E17CA7C4}" name="Cliente"/>
    <tableColumn id="4" xr3:uid="{E1BA0F2A-5FFC-48DE-AF5E-97C6A89B4CD0}" name="Produto"/>
    <tableColumn id="5" xr3:uid="{ED3A69AC-4308-4618-897F-8EC9BB4B1DC7}" name="Quantidade"/>
    <tableColumn id="6" xr3:uid="{B88DD1AF-0D38-4B5C-A84B-C675C5DA344E}" name="Preço_Unitário" dataDxfId="21"/>
    <tableColumn id="14" xr3:uid="{5EC39880-3BC6-42AB-BEE9-FFAE1F3E5E64}" name="Preços_Corrigidos" dataDxfId="20" dataCellStyle="Moeda">
      <calculatedColumnFormula>IF(I2&gt;0, I2, "")</calculatedColumnFormula>
    </tableColumn>
    <tableColumn id="7" xr3:uid="{CA193564-07D0-4B43-8192-7AC666B303BF}" name="Cidad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A274F1-5E2A-4F9D-A1EB-20CEE68335E3}" name="Tabela2" displayName="Tabela2" ref="A1:K16" totalsRowShown="0" headerRowDxfId="19" dataDxfId="18">
  <autoFilter ref="A1:K16" xr:uid="{BFA274F1-5E2A-4F9D-A1EB-20CEE68335E3}"/>
  <tableColumns count="11">
    <tableColumn id="1" xr3:uid="{ECEFCECA-C403-4044-8FC0-DAFBB490B1BB}" name="Novo_ID" dataDxfId="17">
      <calculatedColumnFormula>ROW()-1</calculatedColumnFormula>
    </tableColumn>
    <tableColumn id="2" xr3:uid="{2A27B2D7-E613-41FD-8E5C-10AC36C5B2FE}" name="ID_Venda" dataDxfId="16"/>
    <tableColumn id="3" xr3:uid="{11044EFC-C4E1-4544-A4C6-885E9EC686C2}" name="Status_Dados" dataDxfId="15"/>
    <tableColumn id="4" xr3:uid="{592276D7-6CF9-4A9E-A801-20795EED37B8}" name="Status_Final" dataDxfId="14"/>
    <tableColumn id="5" xr3:uid="{6A82FBEA-4281-4559-B581-63BDCBFAA3C2}" name="Data" dataDxfId="13"/>
    <tableColumn id="6" xr3:uid="{383A3D6F-16BC-4B69-B34E-5839F7420CB2}" name="Cliente" dataDxfId="12"/>
    <tableColumn id="7" xr3:uid="{395870DD-8208-41DD-B79F-E38B798033F5}" name="Produto" dataDxfId="11"/>
    <tableColumn id="8" xr3:uid="{2B384307-47B8-48D9-B3A0-B94EFC9DDEC8}" name="Quantidade" dataDxfId="10"/>
    <tableColumn id="9" xr3:uid="{DB7A2C11-6EEA-4A38-9E10-8E612AB6EAD5}" name="Preço_Unitário" dataDxfId="9" dataCellStyle="Moeda"/>
    <tableColumn id="10" xr3:uid="{D7F620BF-2CB8-4CAE-8A20-1A4F9A212E4E}" name="Valor_Total" dataDxfId="6" dataCellStyle="Moeda">
      <calculatedColumnFormula>Tabela2[[#This Row],[Quantidade]] * Tabela2[[#This Row],[Preço_Unitário]]</calculatedColumnFormula>
    </tableColumn>
    <tableColumn id="11" xr3:uid="{C65DE93F-A3D2-4AB5-93C3-3086301C13C7}" name="Cidade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3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1"/>
  <sheetViews>
    <sheetView workbookViewId="0">
      <selection activeCell="H198" sqref="H198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0</v>
      </c>
      <c r="B2" t="s">
        <v>7</v>
      </c>
      <c r="C2" t="s">
        <v>8</v>
      </c>
      <c r="D2" t="s">
        <v>9</v>
      </c>
      <c r="F2">
        <v>370.87</v>
      </c>
      <c r="G2" t="s">
        <v>10</v>
      </c>
    </row>
    <row r="3" spans="1:7" x14ac:dyDescent="0.25">
      <c r="A3">
        <v>1</v>
      </c>
      <c r="B3" t="s">
        <v>11</v>
      </c>
      <c r="C3" t="s">
        <v>12</v>
      </c>
      <c r="D3" t="s">
        <v>9</v>
      </c>
      <c r="E3">
        <v>8</v>
      </c>
      <c r="F3">
        <v>-10</v>
      </c>
      <c r="G3" t="s">
        <v>13</v>
      </c>
    </row>
    <row r="4" spans="1:7" x14ac:dyDescent="0.25">
      <c r="A4">
        <v>2</v>
      </c>
      <c r="B4" t="s">
        <v>14</v>
      </c>
      <c r="C4" t="s">
        <v>12</v>
      </c>
      <c r="D4" t="s">
        <v>15</v>
      </c>
      <c r="E4" t="s">
        <v>16</v>
      </c>
      <c r="G4" t="s">
        <v>17</v>
      </c>
    </row>
    <row r="5" spans="1:7" x14ac:dyDescent="0.25">
      <c r="A5">
        <v>3</v>
      </c>
      <c r="B5" t="s">
        <v>18</v>
      </c>
      <c r="C5" t="s">
        <v>12</v>
      </c>
      <c r="D5" t="s">
        <v>19</v>
      </c>
      <c r="E5" t="s">
        <v>16</v>
      </c>
      <c r="F5">
        <v>-10</v>
      </c>
      <c r="G5" t="s">
        <v>10</v>
      </c>
    </row>
    <row r="6" spans="1:7" x14ac:dyDescent="0.25">
      <c r="A6">
        <v>4</v>
      </c>
      <c r="B6" t="s">
        <v>20</v>
      </c>
      <c r="C6" t="s">
        <v>12</v>
      </c>
      <c r="E6" t="s">
        <v>16</v>
      </c>
      <c r="F6">
        <v>292.89999999999998</v>
      </c>
      <c r="G6" t="s">
        <v>21</v>
      </c>
    </row>
    <row r="7" spans="1:7" x14ac:dyDescent="0.25">
      <c r="A7">
        <v>5</v>
      </c>
      <c r="B7" t="s">
        <v>22</v>
      </c>
      <c r="C7" t="s">
        <v>8</v>
      </c>
      <c r="D7" t="s">
        <v>23</v>
      </c>
      <c r="E7">
        <v>8</v>
      </c>
      <c r="F7">
        <v>-10</v>
      </c>
    </row>
    <row r="8" spans="1:7" x14ac:dyDescent="0.25">
      <c r="A8">
        <v>6</v>
      </c>
      <c r="B8" t="s">
        <v>24</v>
      </c>
      <c r="C8" t="s">
        <v>8</v>
      </c>
      <c r="D8" t="s">
        <v>19</v>
      </c>
      <c r="E8" t="s">
        <v>16</v>
      </c>
      <c r="F8">
        <v>353.89</v>
      </c>
      <c r="G8" t="s">
        <v>10</v>
      </c>
    </row>
    <row r="9" spans="1:7" x14ac:dyDescent="0.25">
      <c r="A9">
        <v>7</v>
      </c>
      <c r="B9" t="s">
        <v>25</v>
      </c>
      <c r="C9" t="s">
        <v>26</v>
      </c>
      <c r="D9" t="s">
        <v>15</v>
      </c>
      <c r="E9">
        <v>-3</v>
      </c>
    </row>
    <row r="10" spans="1:7" x14ac:dyDescent="0.25">
      <c r="A10">
        <v>8</v>
      </c>
      <c r="B10" t="s">
        <v>27</v>
      </c>
      <c r="C10" t="s">
        <v>12</v>
      </c>
      <c r="D10" t="s">
        <v>9</v>
      </c>
      <c r="E10" t="s">
        <v>16</v>
      </c>
      <c r="F10">
        <v>206.57</v>
      </c>
      <c r="G10" t="s">
        <v>13</v>
      </c>
    </row>
    <row r="11" spans="1:7" x14ac:dyDescent="0.25">
      <c r="A11">
        <v>9</v>
      </c>
      <c r="B11" t="s">
        <v>28</v>
      </c>
      <c r="C11" t="s">
        <v>8</v>
      </c>
      <c r="D11" t="s">
        <v>9</v>
      </c>
      <c r="E11">
        <v>-3</v>
      </c>
      <c r="F11">
        <v>-10</v>
      </c>
      <c r="G11" t="s">
        <v>13</v>
      </c>
    </row>
    <row r="12" spans="1:7" x14ac:dyDescent="0.25">
      <c r="A12">
        <v>10</v>
      </c>
      <c r="B12" t="s">
        <v>29</v>
      </c>
      <c r="E12">
        <v>-3</v>
      </c>
      <c r="F12">
        <v>-10</v>
      </c>
      <c r="G12" t="s">
        <v>17</v>
      </c>
    </row>
    <row r="13" spans="1:7" x14ac:dyDescent="0.25">
      <c r="A13">
        <v>11</v>
      </c>
      <c r="B13" t="s">
        <v>30</v>
      </c>
      <c r="D13" t="s">
        <v>31</v>
      </c>
      <c r="E13">
        <v>3</v>
      </c>
    </row>
    <row r="14" spans="1:7" x14ac:dyDescent="0.25">
      <c r="A14">
        <v>12</v>
      </c>
      <c r="B14" t="s">
        <v>32</v>
      </c>
      <c r="C14" t="s">
        <v>33</v>
      </c>
      <c r="D14" t="s">
        <v>23</v>
      </c>
      <c r="E14">
        <v>-3</v>
      </c>
      <c r="F14">
        <v>-10</v>
      </c>
      <c r="G14" t="s">
        <v>10</v>
      </c>
    </row>
    <row r="15" spans="1:7" x14ac:dyDescent="0.25">
      <c r="A15">
        <v>13</v>
      </c>
      <c r="B15" t="s">
        <v>34</v>
      </c>
      <c r="C15" t="s">
        <v>12</v>
      </c>
      <c r="D15" t="s">
        <v>23</v>
      </c>
      <c r="E15" t="s">
        <v>16</v>
      </c>
      <c r="F15" t="s">
        <v>35</v>
      </c>
      <c r="G15" t="s">
        <v>21</v>
      </c>
    </row>
    <row r="16" spans="1:7" x14ac:dyDescent="0.25">
      <c r="A16">
        <v>14</v>
      </c>
      <c r="B16" t="s">
        <v>36</v>
      </c>
      <c r="C16" t="s">
        <v>33</v>
      </c>
      <c r="D16" t="s">
        <v>37</v>
      </c>
      <c r="F16">
        <v>258.76</v>
      </c>
    </row>
    <row r="17" spans="1:7" x14ac:dyDescent="0.25">
      <c r="A17">
        <v>15</v>
      </c>
      <c r="B17" t="s">
        <v>38</v>
      </c>
      <c r="D17" t="s">
        <v>9</v>
      </c>
      <c r="E17" t="s">
        <v>16</v>
      </c>
      <c r="F17">
        <v>383.63</v>
      </c>
      <c r="G17" t="s">
        <v>10</v>
      </c>
    </row>
    <row r="18" spans="1:7" x14ac:dyDescent="0.25">
      <c r="A18">
        <v>16</v>
      </c>
      <c r="B18" t="s">
        <v>39</v>
      </c>
      <c r="C18" t="s">
        <v>12</v>
      </c>
      <c r="D18" t="s">
        <v>19</v>
      </c>
      <c r="F18">
        <v>38.380000000000003</v>
      </c>
      <c r="G18" t="s">
        <v>21</v>
      </c>
    </row>
    <row r="19" spans="1:7" x14ac:dyDescent="0.25">
      <c r="A19">
        <v>17</v>
      </c>
      <c r="B19" t="s">
        <v>40</v>
      </c>
      <c r="D19" t="s">
        <v>15</v>
      </c>
      <c r="E19">
        <v>-3</v>
      </c>
      <c r="G19" t="s">
        <v>17</v>
      </c>
    </row>
    <row r="20" spans="1:7" x14ac:dyDescent="0.25">
      <c r="A20">
        <v>18</v>
      </c>
      <c r="B20" t="s">
        <v>41</v>
      </c>
      <c r="C20" t="s">
        <v>33</v>
      </c>
      <c r="D20" t="s">
        <v>9</v>
      </c>
      <c r="F20">
        <v>-10</v>
      </c>
    </row>
    <row r="21" spans="1:7" x14ac:dyDescent="0.25">
      <c r="A21">
        <v>19</v>
      </c>
      <c r="B21" t="s">
        <v>42</v>
      </c>
      <c r="D21" t="s">
        <v>31</v>
      </c>
      <c r="F21" t="s">
        <v>35</v>
      </c>
      <c r="G21" t="s">
        <v>21</v>
      </c>
    </row>
    <row r="22" spans="1:7" x14ac:dyDescent="0.25">
      <c r="A22">
        <v>20</v>
      </c>
      <c r="B22" t="s">
        <v>43</v>
      </c>
      <c r="D22" t="s">
        <v>9</v>
      </c>
      <c r="E22">
        <v>1</v>
      </c>
      <c r="F22">
        <v>356.84</v>
      </c>
      <c r="G22" t="s">
        <v>13</v>
      </c>
    </row>
    <row r="23" spans="1:7" x14ac:dyDescent="0.25">
      <c r="A23">
        <v>8</v>
      </c>
      <c r="B23" t="s">
        <v>44</v>
      </c>
      <c r="C23" t="s">
        <v>12</v>
      </c>
      <c r="E23" t="s">
        <v>16</v>
      </c>
      <c r="G23" t="s">
        <v>10</v>
      </c>
    </row>
    <row r="24" spans="1:7" x14ac:dyDescent="0.25">
      <c r="A24">
        <v>22</v>
      </c>
      <c r="B24" t="s">
        <v>45</v>
      </c>
      <c r="D24" t="s">
        <v>31</v>
      </c>
      <c r="E24">
        <v>-3</v>
      </c>
      <c r="G24" t="s">
        <v>21</v>
      </c>
    </row>
    <row r="25" spans="1:7" x14ac:dyDescent="0.25">
      <c r="A25">
        <v>110</v>
      </c>
      <c r="B25" t="s">
        <v>46</v>
      </c>
      <c r="C25" t="s">
        <v>33</v>
      </c>
      <c r="D25" t="s">
        <v>47</v>
      </c>
      <c r="E25">
        <v>15</v>
      </c>
      <c r="F25">
        <v>339.95</v>
      </c>
      <c r="G25" t="s">
        <v>21</v>
      </c>
    </row>
    <row r="26" spans="1:7" x14ac:dyDescent="0.25">
      <c r="A26">
        <v>24</v>
      </c>
      <c r="B26" t="s">
        <v>48</v>
      </c>
      <c r="C26" t="s">
        <v>12</v>
      </c>
      <c r="D26" t="s">
        <v>9</v>
      </c>
      <c r="G26" t="s">
        <v>49</v>
      </c>
    </row>
    <row r="27" spans="1:7" x14ac:dyDescent="0.25">
      <c r="A27">
        <v>25</v>
      </c>
      <c r="B27" t="s">
        <v>50</v>
      </c>
      <c r="C27" t="s">
        <v>26</v>
      </c>
      <c r="D27" t="s">
        <v>23</v>
      </c>
      <c r="E27">
        <v>15</v>
      </c>
      <c r="F27">
        <v>34.79</v>
      </c>
      <c r="G27" t="s">
        <v>21</v>
      </c>
    </row>
    <row r="28" spans="1:7" x14ac:dyDescent="0.25">
      <c r="A28">
        <v>26</v>
      </c>
      <c r="B28" t="s">
        <v>51</v>
      </c>
      <c r="C28" t="s">
        <v>26</v>
      </c>
      <c r="D28" t="s">
        <v>47</v>
      </c>
      <c r="E28">
        <v>-3</v>
      </c>
      <c r="F28">
        <v>-10</v>
      </c>
      <c r="G28" t="s">
        <v>21</v>
      </c>
    </row>
    <row r="29" spans="1:7" x14ac:dyDescent="0.25">
      <c r="A29">
        <v>27</v>
      </c>
      <c r="B29" t="s">
        <v>52</v>
      </c>
      <c r="C29" t="s">
        <v>33</v>
      </c>
      <c r="D29" t="s">
        <v>53</v>
      </c>
      <c r="E29" t="s">
        <v>16</v>
      </c>
      <c r="F29">
        <v>-10</v>
      </c>
      <c r="G29" t="s">
        <v>13</v>
      </c>
    </row>
    <row r="30" spans="1:7" x14ac:dyDescent="0.25">
      <c r="A30">
        <v>28</v>
      </c>
      <c r="B30" t="s">
        <v>54</v>
      </c>
      <c r="C30" t="s">
        <v>12</v>
      </c>
      <c r="E30" t="s">
        <v>16</v>
      </c>
      <c r="F30">
        <v>-10</v>
      </c>
      <c r="G30" t="s">
        <v>10</v>
      </c>
    </row>
    <row r="31" spans="1:7" x14ac:dyDescent="0.25">
      <c r="A31">
        <v>29</v>
      </c>
      <c r="B31" t="s">
        <v>55</v>
      </c>
      <c r="C31" t="s">
        <v>26</v>
      </c>
      <c r="D31" t="s">
        <v>37</v>
      </c>
      <c r="E31">
        <v>17</v>
      </c>
      <c r="F31">
        <v>427.16</v>
      </c>
      <c r="G31" t="s">
        <v>10</v>
      </c>
    </row>
    <row r="32" spans="1:7" x14ac:dyDescent="0.25">
      <c r="A32">
        <v>60</v>
      </c>
      <c r="B32" t="s">
        <v>56</v>
      </c>
      <c r="C32" t="s">
        <v>12</v>
      </c>
      <c r="D32" t="s">
        <v>9</v>
      </c>
      <c r="E32">
        <v>19</v>
      </c>
      <c r="F32">
        <v>-10</v>
      </c>
    </row>
    <row r="33" spans="1:7" x14ac:dyDescent="0.25">
      <c r="A33">
        <v>31</v>
      </c>
      <c r="B33" t="s">
        <v>57</v>
      </c>
      <c r="C33" t="s">
        <v>8</v>
      </c>
      <c r="D33" t="s">
        <v>53</v>
      </c>
      <c r="E33" t="s">
        <v>16</v>
      </c>
      <c r="F33">
        <v>-10</v>
      </c>
      <c r="G33" t="s">
        <v>13</v>
      </c>
    </row>
    <row r="34" spans="1:7" x14ac:dyDescent="0.25">
      <c r="A34">
        <v>32</v>
      </c>
      <c r="B34" t="s">
        <v>58</v>
      </c>
      <c r="C34" t="s">
        <v>33</v>
      </c>
      <c r="D34" t="s">
        <v>19</v>
      </c>
      <c r="E34">
        <v>3</v>
      </c>
      <c r="F34">
        <v>234.56</v>
      </c>
      <c r="G34" t="s">
        <v>21</v>
      </c>
    </row>
    <row r="35" spans="1:7" x14ac:dyDescent="0.25">
      <c r="A35">
        <v>33</v>
      </c>
      <c r="B35" t="s">
        <v>59</v>
      </c>
      <c r="C35" t="s">
        <v>8</v>
      </c>
      <c r="D35" t="s">
        <v>15</v>
      </c>
      <c r="E35">
        <v>12</v>
      </c>
      <c r="F35" t="s">
        <v>35</v>
      </c>
      <c r="G35" t="s">
        <v>17</v>
      </c>
    </row>
    <row r="36" spans="1:7" x14ac:dyDescent="0.25">
      <c r="A36">
        <v>34</v>
      </c>
      <c r="B36" t="s">
        <v>60</v>
      </c>
      <c r="C36" t="s">
        <v>8</v>
      </c>
      <c r="E36" t="s">
        <v>16</v>
      </c>
      <c r="F36">
        <v>466.56</v>
      </c>
      <c r="G36" t="s">
        <v>13</v>
      </c>
    </row>
    <row r="37" spans="1:7" x14ac:dyDescent="0.25">
      <c r="A37">
        <v>35</v>
      </c>
      <c r="B37" t="s">
        <v>61</v>
      </c>
      <c r="D37" t="s">
        <v>15</v>
      </c>
      <c r="E37" t="s">
        <v>16</v>
      </c>
      <c r="F37" t="s">
        <v>35</v>
      </c>
      <c r="G37" t="s">
        <v>13</v>
      </c>
    </row>
    <row r="38" spans="1:7" x14ac:dyDescent="0.25">
      <c r="A38">
        <v>36</v>
      </c>
      <c r="B38" t="s">
        <v>62</v>
      </c>
      <c r="D38" t="s">
        <v>31</v>
      </c>
      <c r="E38">
        <v>9</v>
      </c>
      <c r="F38">
        <v>-10</v>
      </c>
      <c r="G38" t="s">
        <v>17</v>
      </c>
    </row>
    <row r="39" spans="1:7" x14ac:dyDescent="0.25">
      <c r="A39">
        <v>85</v>
      </c>
      <c r="B39" t="s">
        <v>22</v>
      </c>
      <c r="C39" t="s">
        <v>26</v>
      </c>
      <c r="D39" t="s">
        <v>53</v>
      </c>
      <c r="E39">
        <v>-3</v>
      </c>
      <c r="F39">
        <v>-10</v>
      </c>
      <c r="G39" t="s">
        <v>10</v>
      </c>
    </row>
    <row r="40" spans="1:7" x14ac:dyDescent="0.25">
      <c r="A40">
        <v>19</v>
      </c>
      <c r="B40" t="s">
        <v>63</v>
      </c>
      <c r="C40" t="s">
        <v>26</v>
      </c>
      <c r="E40" t="s">
        <v>16</v>
      </c>
      <c r="G40" t="s">
        <v>49</v>
      </c>
    </row>
    <row r="41" spans="1:7" x14ac:dyDescent="0.25">
      <c r="A41">
        <v>39</v>
      </c>
      <c r="B41" t="s">
        <v>64</v>
      </c>
      <c r="C41" t="s">
        <v>8</v>
      </c>
      <c r="D41" t="s">
        <v>37</v>
      </c>
      <c r="F41">
        <v>344.21</v>
      </c>
      <c r="G41" t="s">
        <v>17</v>
      </c>
    </row>
    <row r="42" spans="1:7" x14ac:dyDescent="0.25">
      <c r="A42">
        <v>40</v>
      </c>
      <c r="B42" t="s">
        <v>65</v>
      </c>
      <c r="D42" t="s">
        <v>15</v>
      </c>
      <c r="G42" t="s">
        <v>49</v>
      </c>
    </row>
    <row r="43" spans="1:7" x14ac:dyDescent="0.25">
      <c r="A43">
        <v>188</v>
      </c>
      <c r="B43" t="s">
        <v>66</v>
      </c>
      <c r="C43" t="s">
        <v>33</v>
      </c>
      <c r="D43" t="s">
        <v>9</v>
      </c>
      <c r="F43">
        <v>395.81</v>
      </c>
      <c r="G43" t="s">
        <v>49</v>
      </c>
    </row>
    <row r="44" spans="1:7" x14ac:dyDescent="0.25">
      <c r="A44">
        <v>42</v>
      </c>
      <c r="B44" t="s">
        <v>67</v>
      </c>
      <c r="C44" t="s">
        <v>26</v>
      </c>
      <c r="D44" t="s">
        <v>9</v>
      </c>
      <c r="E44" t="s">
        <v>16</v>
      </c>
      <c r="G44" t="s">
        <v>13</v>
      </c>
    </row>
    <row r="45" spans="1:7" x14ac:dyDescent="0.25">
      <c r="A45">
        <v>49</v>
      </c>
      <c r="B45" t="s">
        <v>68</v>
      </c>
      <c r="C45" t="s">
        <v>8</v>
      </c>
      <c r="D45" t="s">
        <v>53</v>
      </c>
      <c r="E45" t="s">
        <v>16</v>
      </c>
      <c r="F45">
        <v>-10</v>
      </c>
    </row>
    <row r="46" spans="1:7" x14ac:dyDescent="0.25">
      <c r="A46">
        <v>44</v>
      </c>
      <c r="B46" t="s">
        <v>69</v>
      </c>
      <c r="C46" t="s">
        <v>8</v>
      </c>
      <c r="D46" t="s">
        <v>37</v>
      </c>
      <c r="E46" t="s">
        <v>16</v>
      </c>
      <c r="F46" t="s">
        <v>35</v>
      </c>
      <c r="G46" t="s">
        <v>21</v>
      </c>
    </row>
    <row r="47" spans="1:7" x14ac:dyDescent="0.25">
      <c r="A47">
        <v>45</v>
      </c>
      <c r="B47" t="s">
        <v>70</v>
      </c>
      <c r="C47" t="s">
        <v>8</v>
      </c>
      <c r="D47" t="s">
        <v>19</v>
      </c>
      <c r="E47">
        <v>14</v>
      </c>
      <c r="G47" t="s">
        <v>17</v>
      </c>
    </row>
    <row r="48" spans="1:7" x14ac:dyDescent="0.25">
      <c r="A48">
        <v>111</v>
      </c>
      <c r="B48" t="s">
        <v>52</v>
      </c>
      <c r="E48" t="s">
        <v>16</v>
      </c>
      <c r="F48" t="s">
        <v>35</v>
      </c>
      <c r="G48" t="s">
        <v>10</v>
      </c>
    </row>
    <row r="49" spans="1:7" x14ac:dyDescent="0.25">
      <c r="A49">
        <v>47</v>
      </c>
      <c r="B49" t="s">
        <v>71</v>
      </c>
      <c r="C49" t="s">
        <v>8</v>
      </c>
      <c r="E49">
        <v>-3</v>
      </c>
      <c r="F49" t="s">
        <v>35</v>
      </c>
      <c r="G49" t="s">
        <v>10</v>
      </c>
    </row>
    <row r="50" spans="1:7" x14ac:dyDescent="0.25">
      <c r="A50">
        <v>48</v>
      </c>
      <c r="B50" t="s">
        <v>72</v>
      </c>
      <c r="C50" t="s">
        <v>33</v>
      </c>
      <c r="D50" t="s">
        <v>15</v>
      </c>
      <c r="E50" t="s">
        <v>16</v>
      </c>
      <c r="F50">
        <v>208.98</v>
      </c>
      <c r="G50" t="s">
        <v>17</v>
      </c>
    </row>
    <row r="51" spans="1:7" x14ac:dyDescent="0.25">
      <c r="A51">
        <v>49</v>
      </c>
      <c r="B51" t="s">
        <v>73</v>
      </c>
      <c r="D51" t="s">
        <v>19</v>
      </c>
      <c r="E51">
        <v>-3</v>
      </c>
      <c r="G51" t="s">
        <v>10</v>
      </c>
    </row>
    <row r="52" spans="1:7" x14ac:dyDescent="0.25">
      <c r="A52">
        <v>50</v>
      </c>
      <c r="B52" t="s">
        <v>74</v>
      </c>
      <c r="C52" t="s">
        <v>26</v>
      </c>
      <c r="D52" t="s">
        <v>23</v>
      </c>
      <c r="E52" t="s">
        <v>16</v>
      </c>
    </row>
    <row r="53" spans="1:7" x14ac:dyDescent="0.25">
      <c r="A53">
        <v>51</v>
      </c>
      <c r="B53" t="s">
        <v>75</v>
      </c>
      <c r="C53" t="s">
        <v>26</v>
      </c>
      <c r="D53" t="s">
        <v>37</v>
      </c>
      <c r="F53">
        <v>492.13</v>
      </c>
      <c r="G53" t="s">
        <v>49</v>
      </c>
    </row>
    <row r="54" spans="1:7" x14ac:dyDescent="0.25">
      <c r="A54">
        <v>52</v>
      </c>
      <c r="B54" t="s">
        <v>76</v>
      </c>
      <c r="D54" t="s">
        <v>9</v>
      </c>
      <c r="E54">
        <v>-3</v>
      </c>
    </row>
    <row r="55" spans="1:7" x14ac:dyDescent="0.25">
      <c r="A55">
        <v>53</v>
      </c>
      <c r="B55" t="s">
        <v>77</v>
      </c>
      <c r="C55" t="s">
        <v>12</v>
      </c>
      <c r="D55" t="s">
        <v>47</v>
      </c>
      <c r="F55">
        <v>-10</v>
      </c>
      <c r="G55" t="s">
        <v>21</v>
      </c>
    </row>
    <row r="56" spans="1:7" x14ac:dyDescent="0.25">
      <c r="A56">
        <v>54</v>
      </c>
      <c r="B56" t="s">
        <v>71</v>
      </c>
      <c r="C56" t="s">
        <v>33</v>
      </c>
      <c r="D56" t="s">
        <v>15</v>
      </c>
      <c r="E56" t="s">
        <v>16</v>
      </c>
      <c r="F56">
        <v>-10</v>
      </c>
      <c r="G56" t="s">
        <v>10</v>
      </c>
    </row>
    <row r="57" spans="1:7" x14ac:dyDescent="0.25">
      <c r="A57">
        <v>55</v>
      </c>
      <c r="B57" t="s">
        <v>59</v>
      </c>
      <c r="C57" t="s">
        <v>33</v>
      </c>
      <c r="F57">
        <v>-10</v>
      </c>
      <c r="G57" t="s">
        <v>49</v>
      </c>
    </row>
    <row r="58" spans="1:7" x14ac:dyDescent="0.25">
      <c r="A58">
        <v>56</v>
      </c>
      <c r="B58" t="s">
        <v>29</v>
      </c>
      <c r="C58" t="s">
        <v>8</v>
      </c>
      <c r="F58">
        <v>144.55000000000001</v>
      </c>
    </row>
    <row r="59" spans="1:7" x14ac:dyDescent="0.25">
      <c r="A59">
        <v>57</v>
      </c>
      <c r="B59" t="s">
        <v>78</v>
      </c>
      <c r="C59" t="s">
        <v>8</v>
      </c>
      <c r="D59" t="s">
        <v>19</v>
      </c>
      <c r="E59">
        <v>18</v>
      </c>
      <c r="G59" t="s">
        <v>49</v>
      </c>
    </row>
    <row r="60" spans="1:7" x14ac:dyDescent="0.25">
      <c r="A60">
        <v>58</v>
      </c>
      <c r="B60" t="s">
        <v>79</v>
      </c>
      <c r="C60" t="s">
        <v>26</v>
      </c>
      <c r="D60" t="s">
        <v>23</v>
      </c>
      <c r="E60">
        <v>-3</v>
      </c>
      <c r="F60">
        <v>-10</v>
      </c>
      <c r="G60" t="s">
        <v>49</v>
      </c>
    </row>
    <row r="61" spans="1:7" x14ac:dyDescent="0.25">
      <c r="A61">
        <v>107</v>
      </c>
      <c r="B61" t="s">
        <v>80</v>
      </c>
      <c r="D61" t="s">
        <v>37</v>
      </c>
      <c r="E61">
        <v>-3</v>
      </c>
      <c r="F61" t="s">
        <v>35</v>
      </c>
      <c r="G61" t="s">
        <v>17</v>
      </c>
    </row>
    <row r="62" spans="1:7" x14ac:dyDescent="0.25">
      <c r="A62">
        <v>60</v>
      </c>
      <c r="B62" t="s">
        <v>72</v>
      </c>
      <c r="F62" t="s">
        <v>35</v>
      </c>
      <c r="G62" t="s">
        <v>49</v>
      </c>
    </row>
    <row r="63" spans="1:7" x14ac:dyDescent="0.25">
      <c r="A63">
        <v>61</v>
      </c>
      <c r="B63" t="s">
        <v>80</v>
      </c>
      <c r="C63" t="s">
        <v>8</v>
      </c>
      <c r="D63" t="s">
        <v>47</v>
      </c>
      <c r="E63">
        <v>-3</v>
      </c>
      <c r="F63">
        <v>460.58</v>
      </c>
      <c r="G63" t="s">
        <v>49</v>
      </c>
    </row>
    <row r="64" spans="1:7" x14ac:dyDescent="0.25">
      <c r="A64">
        <v>62</v>
      </c>
      <c r="B64" t="s">
        <v>81</v>
      </c>
      <c r="C64" t="s">
        <v>12</v>
      </c>
      <c r="D64" t="s">
        <v>23</v>
      </c>
      <c r="G64" t="s">
        <v>21</v>
      </c>
    </row>
    <row r="65" spans="1:7" x14ac:dyDescent="0.25">
      <c r="A65">
        <v>63</v>
      </c>
      <c r="B65" t="s">
        <v>82</v>
      </c>
      <c r="C65" t="s">
        <v>26</v>
      </c>
      <c r="D65" t="s">
        <v>31</v>
      </c>
      <c r="E65" t="s">
        <v>16</v>
      </c>
      <c r="F65">
        <v>-10</v>
      </c>
      <c r="G65" t="s">
        <v>17</v>
      </c>
    </row>
    <row r="66" spans="1:7" x14ac:dyDescent="0.25">
      <c r="A66">
        <v>64</v>
      </c>
      <c r="B66" t="s">
        <v>72</v>
      </c>
      <c r="C66" t="s">
        <v>8</v>
      </c>
      <c r="D66" t="s">
        <v>23</v>
      </c>
      <c r="E66">
        <v>16</v>
      </c>
      <c r="F66">
        <v>377.02</v>
      </c>
      <c r="G66" t="s">
        <v>17</v>
      </c>
    </row>
    <row r="67" spans="1:7" x14ac:dyDescent="0.25">
      <c r="A67">
        <v>65</v>
      </c>
      <c r="B67" t="s">
        <v>40</v>
      </c>
      <c r="C67" t="s">
        <v>12</v>
      </c>
      <c r="D67" t="s">
        <v>37</v>
      </c>
      <c r="G67" t="s">
        <v>13</v>
      </c>
    </row>
    <row r="68" spans="1:7" x14ac:dyDescent="0.25">
      <c r="A68">
        <v>66</v>
      </c>
      <c r="B68" t="s">
        <v>83</v>
      </c>
      <c r="C68" t="s">
        <v>12</v>
      </c>
      <c r="D68" t="s">
        <v>9</v>
      </c>
      <c r="E68" t="s">
        <v>16</v>
      </c>
      <c r="G68" t="s">
        <v>10</v>
      </c>
    </row>
    <row r="69" spans="1:7" x14ac:dyDescent="0.25">
      <c r="A69">
        <v>67</v>
      </c>
      <c r="B69" t="s">
        <v>84</v>
      </c>
      <c r="C69" t="s">
        <v>12</v>
      </c>
      <c r="D69" t="s">
        <v>15</v>
      </c>
      <c r="E69">
        <v>10</v>
      </c>
      <c r="F69" t="s">
        <v>35</v>
      </c>
      <c r="G69" t="s">
        <v>10</v>
      </c>
    </row>
    <row r="70" spans="1:7" x14ac:dyDescent="0.25">
      <c r="A70">
        <v>68</v>
      </c>
      <c r="B70" t="s">
        <v>20</v>
      </c>
      <c r="C70" t="s">
        <v>33</v>
      </c>
      <c r="D70" t="s">
        <v>9</v>
      </c>
      <c r="F70" t="s">
        <v>35</v>
      </c>
    </row>
    <row r="71" spans="1:7" x14ac:dyDescent="0.25">
      <c r="A71">
        <v>69</v>
      </c>
      <c r="B71" t="s">
        <v>85</v>
      </c>
      <c r="D71" t="s">
        <v>37</v>
      </c>
      <c r="E71">
        <v>-3</v>
      </c>
      <c r="F71">
        <v>334.15</v>
      </c>
      <c r="G71" t="s">
        <v>10</v>
      </c>
    </row>
    <row r="72" spans="1:7" x14ac:dyDescent="0.25">
      <c r="A72">
        <v>70</v>
      </c>
      <c r="B72" t="s">
        <v>86</v>
      </c>
      <c r="C72" t="s">
        <v>33</v>
      </c>
      <c r="D72" t="s">
        <v>31</v>
      </c>
      <c r="E72">
        <v>-3</v>
      </c>
      <c r="F72">
        <v>-10</v>
      </c>
    </row>
    <row r="73" spans="1:7" x14ac:dyDescent="0.25">
      <c r="A73">
        <v>71</v>
      </c>
      <c r="B73" t="s">
        <v>87</v>
      </c>
      <c r="D73" t="s">
        <v>53</v>
      </c>
      <c r="E73">
        <v>-3</v>
      </c>
      <c r="F73" t="s">
        <v>35</v>
      </c>
      <c r="G73" t="s">
        <v>17</v>
      </c>
    </row>
    <row r="74" spans="1:7" x14ac:dyDescent="0.25">
      <c r="A74">
        <v>72</v>
      </c>
      <c r="B74" t="s">
        <v>88</v>
      </c>
      <c r="C74" t="s">
        <v>8</v>
      </c>
      <c r="D74" t="s">
        <v>31</v>
      </c>
      <c r="E74">
        <v>-3</v>
      </c>
      <c r="F74">
        <v>-10</v>
      </c>
      <c r="G74" t="s">
        <v>17</v>
      </c>
    </row>
    <row r="75" spans="1:7" x14ac:dyDescent="0.25">
      <c r="A75">
        <v>83</v>
      </c>
      <c r="B75" t="s">
        <v>89</v>
      </c>
      <c r="C75" t="s">
        <v>33</v>
      </c>
      <c r="D75" t="s">
        <v>9</v>
      </c>
      <c r="E75" t="s">
        <v>16</v>
      </c>
      <c r="F75" t="s">
        <v>35</v>
      </c>
      <c r="G75" t="s">
        <v>10</v>
      </c>
    </row>
    <row r="76" spans="1:7" x14ac:dyDescent="0.25">
      <c r="A76">
        <v>48</v>
      </c>
      <c r="B76" t="s">
        <v>90</v>
      </c>
      <c r="C76" t="s">
        <v>26</v>
      </c>
      <c r="D76" t="s">
        <v>47</v>
      </c>
      <c r="F76">
        <v>-10</v>
      </c>
      <c r="G76" t="s">
        <v>49</v>
      </c>
    </row>
    <row r="77" spans="1:7" x14ac:dyDescent="0.25">
      <c r="A77">
        <v>75</v>
      </c>
      <c r="B77" t="s">
        <v>91</v>
      </c>
      <c r="C77" t="s">
        <v>8</v>
      </c>
      <c r="D77" t="s">
        <v>9</v>
      </c>
      <c r="F77" t="s">
        <v>35</v>
      </c>
      <c r="G77" t="s">
        <v>49</v>
      </c>
    </row>
    <row r="78" spans="1:7" x14ac:dyDescent="0.25">
      <c r="A78">
        <v>76</v>
      </c>
      <c r="B78" t="s">
        <v>92</v>
      </c>
      <c r="C78" t="s">
        <v>33</v>
      </c>
      <c r="E78" t="s">
        <v>16</v>
      </c>
      <c r="F78" t="s">
        <v>35</v>
      </c>
      <c r="G78" t="s">
        <v>17</v>
      </c>
    </row>
    <row r="79" spans="1:7" x14ac:dyDescent="0.25">
      <c r="A79">
        <v>77</v>
      </c>
      <c r="B79" t="s">
        <v>85</v>
      </c>
      <c r="C79" t="s">
        <v>26</v>
      </c>
      <c r="D79" t="s">
        <v>19</v>
      </c>
      <c r="F79">
        <v>-10</v>
      </c>
      <c r="G79" t="s">
        <v>17</v>
      </c>
    </row>
    <row r="80" spans="1:7" x14ac:dyDescent="0.25">
      <c r="A80">
        <v>78</v>
      </c>
      <c r="B80" t="s">
        <v>93</v>
      </c>
      <c r="D80" t="s">
        <v>53</v>
      </c>
      <c r="F80" t="s">
        <v>35</v>
      </c>
      <c r="G80" t="s">
        <v>13</v>
      </c>
    </row>
    <row r="81" spans="1:7" x14ac:dyDescent="0.25">
      <c r="A81">
        <v>79</v>
      </c>
      <c r="B81" t="s">
        <v>94</v>
      </c>
      <c r="D81" t="s">
        <v>15</v>
      </c>
      <c r="E81">
        <v>9</v>
      </c>
      <c r="F81" t="s">
        <v>35</v>
      </c>
    </row>
    <row r="82" spans="1:7" x14ac:dyDescent="0.25">
      <c r="A82">
        <v>80</v>
      </c>
      <c r="B82" t="s">
        <v>38</v>
      </c>
      <c r="C82" t="s">
        <v>33</v>
      </c>
      <c r="D82" t="s">
        <v>23</v>
      </c>
      <c r="E82" t="s">
        <v>16</v>
      </c>
      <c r="F82">
        <v>-10</v>
      </c>
      <c r="G82" t="s">
        <v>17</v>
      </c>
    </row>
    <row r="83" spans="1:7" x14ac:dyDescent="0.25">
      <c r="A83">
        <v>81</v>
      </c>
      <c r="B83" t="s">
        <v>95</v>
      </c>
      <c r="C83" t="s">
        <v>8</v>
      </c>
      <c r="D83" t="s">
        <v>31</v>
      </c>
      <c r="E83">
        <v>4</v>
      </c>
      <c r="F83">
        <v>206.35</v>
      </c>
      <c r="G83" t="s">
        <v>10</v>
      </c>
    </row>
    <row r="84" spans="1:7" x14ac:dyDescent="0.25">
      <c r="A84">
        <v>82</v>
      </c>
      <c r="B84" t="s">
        <v>95</v>
      </c>
      <c r="C84" t="s">
        <v>26</v>
      </c>
      <c r="D84" t="s">
        <v>15</v>
      </c>
      <c r="E84" t="s">
        <v>16</v>
      </c>
      <c r="G84" t="s">
        <v>21</v>
      </c>
    </row>
    <row r="85" spans="1:7" x14ac:dyDescent="0.25">
      <c r="A85">
        <v>83</v>
      </c>
      <c r="B85" t="s">
        <v>96</v>
      </c>
      <c r="D85" t="s">
        <v>9</v>
      </c>
      <c r="E85">
        <v>-3</v>
      </c>
      <c r="F85">
        <v>-10</v>
      </c>
      <c r="G85" t="s">
        <v>17</v>
      </c>
    </row>
    <row r="86" spans="1:7" x14ac:dyDescent="0.25">
      <c r="A86">
        <v>84</v>
      </c>
      <c r="B86" t="s">
        <v>97</v>
      </c>
      <c r="C86" t="s">
        <v>8</v>
      </c>
      <c r="D86" t="s">
        <v>37</v>
      </c>
      <c r="E86">
        <v>20</v>
      </c>
    </row>
    <row r="87" spans="1:7" x14ac:dyDescent="0.25">
      <c r="A87">
        <v>85</v>
      </c>
      <c r="B87" t="s">
        <v>81</v>
      </c>
      <c r="C87" t="s">
        <v>12</v>
      </c>
      <c r="D87" t="s">
        <v>15</v>
      </c>
      <c r="G87" t="s">
        <v>21</v>
      </c>
    </row>
    <row r="88" spans="1:7" x14ac:dyDescent="0.25">
      <c r="A88">
        <v>86</v>
      </c>
      <c r="B88" t="s">
        <v>63</v>
      </c>
      <c r="D88" t="s">
        <v>31</v>
      </c>
      <c r="E88">
        <v>10</v>
      </c>
      <c r="F88" t="s">
        <v>35</v>
      </c>
    </row>
    <row r="89" spans="1:7" x14ac:dyDescent="0.25">
      <c r="A89">
        <v>87</v>
      </c>
      <c r="B89" t="s">
        <v>98</v>
      </c>
      <c r="C89" t="s">
        <v>26</v>
      </c>
      <c r="D89" t="s">
        <v>53</v>
      </c>
    </row>
    <row r="90" spans="1:7" x14ac:dyDescent="0.25">
      <c r="A90">
        <v>88</v>
      </c>
      <c r="B90" t="s">
        <v>99</v>
      </c>
      <c r="C90" t="s">
        <v>26</v>
      </c>
      <c r="D90" t="s">
        <v>23</v>
      </c>
      <c r="F90" t="s">
        <v>35</v>
      </c>
      <c r="G90" t="s">
        <v>49</v>
      </c>
    </row>
    <row r="91" spans="1:7" x14ac:dyDescent="0.25">
      <c r="A91">
        <v>89</v>
      </c>
      <c r="B91" t="s">
        <v>63</v>
      </c>
      <c r="C91" t="s">
        <v>8</v>
      </c>
      <c r="D91" t="s">
        <v>47</v>
      </c>
      <c r="E91">
        <v>-3</v>
      </c>
      <c r="F91">
        <v>224.5</v>
      </c>
      <c r="G91" t="s">
        <v>49</v>
      </c>
    </row>
    <row r="92" spans="1:7" x14ac:dyDescent="0.25">
      <c r="A92">
        <v>90</v>
      </c>
      <c r="B92" t="s">
        <v>100</v>
      </c>
      <c r="C92" t="s">
        <v>8</v>
      </c>
      <c r="D92" t="s">
        <v>37</v>
      </c>
      <c r="F92">
        <v>481.34</v>
      </c>
    </row>
    <row r="93" spans="1:7" x14ac:dyDescent="0.25">
      <c r="A93">
        <v>91</v>
      </c>
      <c r="B93" t="s">
        <v>101</v>
      </c>
      <c r="C93" t="s">
        <v>12</v>
      </c>
      <c r="D93" t="s">
        <v>15</v>
      </c>
      <c r="E93">
        <v>-3</v>
      </c>
      <c r="G93" t="s">
        <v>10</v>
      </c>
    </row>
    <row r="94" spans="1:7" x14ac:dyDescent="0.25">
      <c r="A94">
        <v>92</v>
      </c>
      <c r="B94" t="s">
        <v>102</v>
      </c>
      <c r="C94" t="s">
        <v>12</v>
      </c>
      <c r="D94" t="s">
        <v>31</v>
      </c>
      <c r="E94">
        <v>-3</v>
      </c>
      <c r="F94">
        <v>173.32</v>
      </c>
      <c r="G94" t="s">
        <v>13</v>
      </c>
    </row>
    <row r="95" spans="1:7" x14ac:dyDescent="0.25">
      <c r="A95">
        <v>93</v>
      </c>
      <c r="B95" t="s">
        <v>103</v>
      </c>
      <c r="C95" t="s">
        <v>33</v>
      </c>
      <c r="D95" t="s">
        <v>53</v>
      </c>
      <c r="E95">
        <v>13</v>
      </c>
      <c r="F95" t="s">
        <v>35</v>
      </c>
      <c r="G95" t="s">
        <v>17</v>
      </c>
    </row>
    <row r="96" spans="1:7" x14ac:dyDescent="0.25">
      <c r="A96">
        <v>94</v>
      </c>
      <c r="B96" t="s">
        <v>22</v>
      </c>
      <c r="C96" t="s">
        <v>33</v>
      </c>
      <c r="E96">
        <v>-3</v>
      </c>
      <c r="G96" t="s">
        <v>10</v>
      </c>
    </row>
    <row r="97" spans="1:7" x14ac:dyDescent="0.25">
      <c r="A97">
        <v>95</v>
      </c>
      <c r="B97" t="s">
        <v>104</v>
      </c>
      <c r="C97" t="s">
        <v>33</v>
      </c>
      <c r="D97" t="s">
        <v>31</v>
      </c>
      <c r="G97" t="s">
        <v>17</v>
      </c>
    </row>
    <row r="98" spans="1:7" x14ac:dyDescent="0.25">
      <c r="A98">
        <v>96</v>
      </c>
      <c r="B98" t="s">
        <v>105</v>
      </c>
      <c r="C98" t="s">
        <v>33</v>
      </c>
      <c r="D98" t="s">
        <v>23</v>
      </c>
      <c r="F98" t="s">
        <v>35</v>
      </c>
      <c r="G98" t="s">
        <v>10</v>
      </c>
    </row>
    <row r="99" spans="1:7" x14ac:dyDescent="0.25">
      <c r="A99">
        <v>104</v>
      </c>
      <c r="B99" t="s">
        <v>91</v>
      </c>
      <c r="C99" t="s">
        <v>26</v>
      </c>
      <c r="D99" t="s">
        <v>23</v>
      </c>
      <c r="E99">
        <v>15</v>
      </c>
      <c r="G99" t="s">
        <v>49</v>
      </c>
    </row>
    <row r="100" spans="1:7" x14ac:dyDescent="0.25">
      <c r="A100">
        <v>98</v>
      </c>
      <c r="B100" t="s">
        <v>106</v>
      </c>
      <c r="D100" t="s">
        <v>53</v>
      </c>
      <c r="E100">
        <v>-3</v>
      </c>
      <c r="G100" t="s">
        <v>49</v>
      </c>
    </row>
    <row r="101" spans="1:7" x14ac:dyDescent="0.25">
      <c r="A101">
        <v>99</v>
      </c>
      <c r="B101" t="s">
        <v>107</v>
      </c>
      <c r="C101" t="s">
        <v>26</v>
      </c>
      <c r="E101">
        <v>5</v>
      </c>
      <c r="F101">
        <v>-10</v>
      </c>
      <c r="G101" t="s">
        <v>17</v>
      </c>
    </row>
    <row r="102" spans="1:7" x14ac:dyDescent="0.25">
      <c r="A102">
        <v>100</v>
      </c>
      <c r="B102" t="s">
        <v>59</v>
      </c>
      <c r="C102" t="s">
        <v>8</v>
      </c>
      <c r="D102" t="s">
        <v>37</v>
      </c>
      <c r="E102" t="s">
        <v>16</v>
      </c>
      <c r="F102">
        <v>-10</v>
      </c>
      <c r="G102" t="s">
        <v>13</v>
      </c>
    </row>
    <row r="103" spans="1:7" x14ac:dyDescent="0.25">
      <c r="A103">
        <v>101</v>
      </c>
      <c r="B103" t="s">
        <v>108</v>
      </c>
      <c r="C103" t="s">
        <v>8</v>
      </c>
      <c r="D103" t="s">
        <v>19</v>
      </c>
      <c r="E103">
        <v>-3</v>
      </c>
      <c r="F103" t="s">
        <v>35</v>
      </c>
      <c r="G103" t="s">
        <v>13</v>
      </c>
    </row>
    <row r="104" spans="1:7" x14ac:dyDescent="0.25">
      <c r="A104">
        <v>102</v>
      </c>
      <c r="B104" t="s">
        <v>109</v>
      </c>
      <c r="D104" t="s">
        <v>47</v>
      </c>
      <c r="E104">
        <v>-3</v>
      </c>
      <c r="F104">
        <v>-10</v>
      </c>
    </row>
    <row r="105" spans="1:7" x14ac:dyDescent="0.25">
      <c r="A105">
        <v>103</v>
      </c>
      <c r="B105" t="s">
        <v>18</v>
      </c>
      <c r="C105" t="s">
        <v>33</v>
      </c>
      <c r="D105" t="s">
        <v>15</v>
      </c>
      <c r="E105">
        <v>16</v>
      </c>
      <c r="F105" t="s">
        <v>35</v>
      </c>
      <c r="G105" t="s">
        <v>21</v>
      </c>
    </row>
    <row r="106" spans="1:7" x14ac:dyDescent="0.25">
      <c r="A106">
        <v>104</v>
      </c>
      <c r="B106" t="s">
        <v>42</v>
      </c>
      <c r="C106" t="s">
        <v>12</v>
      </c>
      <c r="E106">
        <v>15</v>
      </c>
      <c r="F106">
        <v>-10</v>
      </c>
    </row>
    <row r="107" spans="1:7" x14ac:dyDescent="0.25">
      <c r="A107">
        <v>105</v>
      </c>
      <c r="B107" t="s">
        <v>110</v>
      </c>
      <c r="C107" t="s">
        <v>33</v>
      </c>
      <c r="D107" t="s">
        <v>53</v>
      </c>
      <c r="E107">
        <v>-3</v>
      </c>
      <c r="F107" t="s">
        <v>35</v>
      </c>
    </row>
    <row r="108" spans="1:7" x14ac:dyDescent="0.25">
      <c r="A108">
        <v>106</v>
      </c>
      <c r="B108" t="s">
        <v>18</v>
      </c>
      <c r="C108" t="s">
        <v>8</v>
      </c>
      <c r="D108" t="s">
        <v>31</v>
      </c>
      <c r="E108">
        <v>18</v>
      </c>
    </row>
    <row r="109" spans="1:7" x14ac:dyDescent="0.25">
      <c r="A109">
        <v>107</v>
      </c>
      <c r="B109" t="s">
        <v>111</v>
      </c>
      <c r="C109" t="s">
        <v>26</v>
      </c>
      <c r="D109" t="s">
        <v>23</v>
      </c>
      <c r="E109">
        <v>14</v>
      </c>
      <c r="F109">
        <v>382.58</v>
      </c>
      <c r="G109" t="s">
        <v>49</v>
      </c>
    </row>
    <row r="110" spans="1:7" x14ac:dyDescent="0.25">
      <c r="A110">
        <v>108</v>
      </c>
      <c r="B110" t="s">
        <v>58</v>
      </c>
      <c r="C110" t="s">
        <v>12</v>
      </c>
      <c r="D110" t="s">
        <v>37</v>
      </c>
      <c r="E110">
        <v>11</v>
      </c>
      <c r="F110" t="s">
        <v>35</v>
      </c>
      <c r="G110" t="s">
        <v>49</v>
      </c>
    </row>
    <row r="111" spans="1:7" x14ac:dyDescent="0.25">
      <c r="A111">
        <v>109</v>
      </c>
      <c r="B111" t="s">
        <v>55</v>
      </c>
      <c r="C111" t="s">
        <v>33</v>
      </c>
      <c r="D111" t="s">
        <v>15</v>
      </c>
      <c r="F111">
        <v>-10</v>
      </c>
      <c r="G111" t="s">
        <v>10</v>
      </c>
    </row>
    <row r="112" spans="1:7" x14ac:dyDescent="0.25">
      <c r="A112">
        <v>110</v>
      </c>
      <c r="B112" t="s">
        <v>112</v>
      </c>
      <c r="D112" t="s">
        <v>15</v>
      </c>
      <c r="E112">
        <v>-3</v>
      </c>
      <c r="F112">
        <v>-10</v>
      </c>
      <c r="G112" t="s">
        <v>17</v>
      </c>
    </row>
    <row r="113" spans="1:7" x14ac:dyDescent="0.25">
      <c r="A113">
        <v>111</v>
      </c>
      <c r="B113" t="s">
        <v>113</v>
      </c>
      <c r="C113" t="s">
        <v>8</v>
      </c>
      <c r="E113">
        <v>6</v>
      </c>
      <c r="F113" t="s">
        <v>35</v>
      </c>
      <c r="G113" t="s">
        <v>10</v>
      </c>
    </row>
    <row r="114" spans="1:7" x14ac:dyDescent="0.25">
      <c r="A114">
        <v>112</v>
      </c>
      <c r="B114" t="s">
        <v>114</v>
      </c>
      <c r="C114" t="s">
        <v>8</v>
      </c>
      <c r="D114" t="s">
        <v>31</v>
      </c>
      <c r="F114">
        <v>-10</v>
      </c>
      <c r="G114" t="s">
        <v>21</v>
      </c>
    </row>
    <row r="115" spans="1:7" x14ac:dyDescent="0.25">
      <c r="A115">
        <v>113</v>
      </c>
      <c r="B115" t="s">
        <v>45</v>
      </c>
      <c r="C115" t="s">
        <v>8</v>
      </c>
      <c r="D115" t="s">
        <v>53</v>
      </c>
      <c r="E115">
        <v>10</v>
      </c>
      <c r="F115">
        <v>-10</v>
      </c>
      <c r="G115" t="s">
        <v>17</v>
      </c>
    </row>
    <row r="116" spans="1:7" x14ac:dyDescent="0.25">
      <c r="A116">
        <v>175</v>
      </c>
      <c r="B116" t="s">
        <v>115</v>
      </c>
      <c r="C116" t="s">
        <v>12</v>
      </c>
      <c r="D116" t="s">
        <v>31</v>
      </c>
      <c r="F116" t="s">
        <v>35</v>
      </c>
      <c r="G116" t="s">
        <v>13</v>
      </c>
    </row>
    <row r="117" spans="1:7" x14ac:dyDescent="0.25">
      <c r="A117">
        <v>115</v>
      </c>
      <c r="B117" t="s">
        <v>116</v>
      </c>
      <c r="C117" t="s">
        <v>8</v>
      </c>
      <c r="D117" t="s">
        <v>15</v>
      </c>
      <c r="E117">
        <v>4</v>
      </c>
      <c r="F117">
        <v>-10</v>
      </c>
      <c r="G117" t="s">
        <v>21</v>
      </c>
    </row>
    <row r="118" spans="1:7" x14ac:dyDescent="0.25">
      <c r="A118">
        <v>116</v>
      </c>
      <c r="B118" t="s">
        <v>117</v>
      </c>
      <c r="C118" t="s">
        <v>26</v>
      </c>
      <c r="D118" t="s">
        <v>23</v>
      </c>
      <c r="E118" t="s">
        <v>16</v>
      </c>
      <c r="G118" t="s">
        <v>13</v>
      </c>
    </row>
    <row r="119" spans="1:7" x14ac:dyDescent="0.25">
      <c r="A119">
        <v>117</v>
      </c>
      <c r="B119" t="s">
        <v>118</v>
      </c>
      <c r="C119" t="s">
        <v>8</v>
      </c>
      <c r="E119" t="s">
        <v>16</v>
      </c>
      <c r="F119" t="s">
        <v>35</v>
      </c>
      <c r="G119" t="s">
        <v>49</v>
      </c>
    </row>
    <row r="120" spans="1:7" x14ac:dyDescent="0.25">
      <c r="A120">
        <v>118</v>
      </c>
      <c r="B120" t="s">
        <v>119</v>
      </c>
      <c r="C120" t="s">
        <v>8</v>
      </c>
      <c r="D120" t="s">
        <v>23</v>
      </c>
      <c r="E120">
        <v>15</v>
      </c>
    </row>
    <row r="121" spans="1:7" x14ac:dyDescent="0.25">
      <c r="A121">
        <v>119</v>
      </c>
      <c r="B121" t="s">
        <v>120</v>
      </c>
      <c r="D121" t="s">
        <v>19</v>
      </c>
      <c r="E121">
        <v>-3</v>
      </c>
      <c r="F121">
        <v>16.82</v>
      </c>
      <c r="G121" t="s">
        <v>49</v>
      </c>
    </row>
    <row r="122" spans="1:7" x14ac:dyDescent="0.25">
      <c r="A122">
        <v>120</v>
      </c>
      <c r="B122" t="s">
        <v>84</v>
      </c>
      <c r="C122" t="s">
        <v>8</v>
      </c>
      <c r="D122" t="s">
        <v>47</v>
      </c>
      <c r="E122">
        <v>12</v>
      </c>
      <c r="F122">
        <v>-10</v>
      </c>
      <c r="G122" t="s">
        <v>21</v>
      </c>
    </row>
    <row r="123" spans="1:7" x14ac:dyDescent="0.25">
      <c r="A123">
        <v>121</v>
      </c>
      <c r="B123" t="s">
        <v>121</v>
      </c>
      <c r="C123" t="s">
        <v>8</v>
      </c>
      <c r="D123" t="s">
        <v>9</v>
      </c>
      <c r="E123">
        <v>-3</v>
      </c>
      <c r="F123" t="s">
        <v>35</v>
      </c>
    </row>
    <row r="124" spans="1:7" x14ac:dyDescent="0.25">
      <c r="A124">
        <v>122</v>
      </c>
      <c r="B124" t="s">
        <v>30</v>
      </c>
      <c r="C124" t="s">
        <v>12</v>
      </c>
      <c r="D124" t="s">
        <v>37</v>
      </c>
      <c r="E124">
        <v>-3</v>
      </c>
      <c r="G124" t="s">
        <v>10</v>
      </c>
    </row>
    <row r="125" spans="1:7" x14ac:dyDescent="0.25">
      <c r="A125">
        <v>123</v>
      </c>
      <c r="B125" t="s">
        <v>122</v>
      </c>
      <c r="C125" t="s">
        <v>8</v>
      </c>
      <c r="F125">
        <v>443.85</v>
      </c>
      <c r="G125" t="s">
        <v>49</v>
      </c>
    </row>
    <row r="126" spans="1:7" x14ac:dyDescent="0.25">
      <c r="A126">
        <v>124</v>
      </c>
      <c r="B126" t="s">
        <v>14</v>
      </c>
      <c r="C126" t="s">
        <v>12</v>
      </c>
      <c r="D126" t="s">
        <v>19</v>
      </c>
      <c r="E126">
        <v>-3</v>
      </c>
      <c r="G126" t="s">
        <v>17</v>
      </c>
    </row>
    <row r="127" spans="1:7" x14ac:dyDescent="0.25">
      <c r="A127">
        <v>175</v>
      </c>
      <c r="B127" t="s">
        <v>123</v>
      </c>
      <c r="D127" t="s">
        <v>19</v>
      </c>
      <c r="E127">
        <v>-3</v>
      </c>
      <c r="F127">
        <v>145.18</v>
      </c>
      <c r="G127" t="s">
        <v>49</v>
      </c>
    </row>
    <row r="128" spans="1:7" x14ac:dyDescent="0.25">
      <c r="A128">
        <v>54</v>
      </c>
      <c r="B128" t="s">
        <v>124</v>
      </c>
      <c r="D128" t="s">
        <v>37</v>
      </c>
      <c r="E128" t="s">
        <v>16</v>
      </c>
      <c r="G128" t="s">
        <v>10</v>
      </c>
    </row>
    <row r="129" spans="1:7" x14ac:dyDescent="0.25">
      <c r="A129">
        <v>127</v>
      </c>
      <c r="B129" t="s">
        <v>125</v>
      </c>
      <c r="D129" t="s">
        <v>9</v>
      </c>
      <c r="G129" t="s">
        <v>17</v>
      </c>
    </row>
    <row r="130" spans="1:7" x14ac:dyDescent="0.25">
      <c r="A130">
        <v>128</v>
      </c>
      <c r="B130" t="s">
        <v>126</v>
      </c>
      <c r="C130" t="s">
        <v>12</v>
      </c>
      <c r="D130" t="s">
        <v>53</v>
      </c>
      <c r="G130" t="s">
        <v>21</v>
      </c>
    </row>
    <row r="131" spans="1:7" x14ac:dyDescent="0.25">
      <c r="A131">
        <v>129</v>
      </c>
      <c r="B131" t="s">
        <v>7</v>
      </c>
      <c r="C131" t="s">
        <v>26</v>
      </c>
      <c r="D131" t="s">
        <v>37</v>
      </c>
      <c r="F131">
        <v>298.54000000000002</v>
      </c>
      <c r="G131" t="s">
        <v>13</v>
      </c>
    </row>
    <row r="132" spans="1:7" x14ac:dyDescent="0.25">
      <c r="A132">
        <v>130</v>
      </c>
      <c r="B132" t="s">
        <v>127</v>
      </c>
      <c r="C132" t="s">
        <v>33</v>
      </c>
      <c r="E132">
        <v>4</v>
      </c>
      <c r="F132" t="s">
        <v>35</v>
      </c>
      <c r="G132" t="s">
        <v>10</v>
      </c>
    </row>
    <row r="133" spans="1:7" x14ac:dyDescent="0.25">
      <c r="A133">
        <v>131</v>
      </c>
      <c r="B133" t="s">
        <v>128</v>
      </c>
      <c r="D133" t="s">
        <v>9</v>
      </c>
      <c r="E133">
        <v>20</v>
      </c>
      <c r="F133" t="s">
        <v>35</v>
      </c>
      <c r="G133" t="s">
        <v>49</v>
      </c>
    </row>
    <row r="134" spans="1:7" x14ac:dyDescent="0.25">
      <c r="A134">
        <v>132</v>
      </c>
      <c r="B134" t="s">
        <v>11</v>
      </c>
      <c r="C134" t="s">
        <v>12</v>
      </c>
      <c r="D134" t="s">
        <v>31</v>
      </c>
      <c r="E134">
        <v>-3</v>
      </c>
      <c r="F134">
        <v>-10</v>
      </c>
    </row>
    <row r="135" spans="1:7" x14ac:dyDescent="0.25">
      <c r="A135">
        <v>133</v>
      </c>
      <c r="B135" t="s">
        <v>98</v>
      </c>
      <c r="C135" t="s">
        <v>12</v>
      </c>
      <c r="D135" t="s">
        <v>19</v>
      </c>
      <c r="F135" t="s">
        <v>35</v>
      </c>
      <c r="G135" t="s">
        <v>10</v>
      </c>
    </row>
    <row r="136" spans="1:7" x14ac:dyDescent="0.25">
      <c r="A136">
        <v>134</v>
      </c>
      <c r="B136" t="s">
        <v>129</v>
      </c>
      <c r="C136" t="s">
        <v>8</v>
      </c>
      <c r="D136" t="s">
        <v>47</v>
      </c>
      <c r="E136" t="s">
        <v>16</v>
      </c>
      <c r="F136">
        <v>-10</v>
      </c>
      <c r="G136" t="s">
        <v>21</v>
      </c>
    </row>
    <row r="137" spans="1:7" x14ac:dyDescent="0.25">
      <c r="A137">
        <v>135</v>
      </c>
      <c r="B137" t="s">
        <v>130</v>
      </c>
      <c r="D137" t="s">
        <v>9</v>
      </c>
      <c r="E137">
        <v>-3</v>
      </c>
      <c r="F137">
        <v>-10</v>
      </c>
      <c r="G137" t="s">
        <v>17</v>
      </c>
    </row>
    <row r="138" spans="1:7" x14ac:dyDescent="0.25">
      <c r="A138">
        <v>136</v>
      </c>
      <c r="B138" t="s">
        <v>68</v>
      </c>
      <c r="C138" t="s">
        <v>33</v>
      </c>
      <c r="D138" t="s">
        <v>23</v>
      </c>
      <c r="E138">
        <v>-3</v>
      </c>
      <c r="F138" t="s">
        <v>35</v>
      </c>
      <c r="G138" t="s">
        <v>17</v>
      </c>
    </row>
    <row r="139" spans="1:7" x14ac:dyDescent="0.25">
      <c r="A139">
        <v>137</v>
      </c>
      <c r="B139" t="s">
        <v>131</v>
      </c>
      <c r="C139" t="s">
        <v>33</v>
      </c>
      <c r="D139" t="s">
        <v>23</v>
      </c>
      <c r="E139">
        <v>3</v>
      </c>
      <c r="F139">
        <v>55.68</v>
      </c>
    </row>
    <row r="140" spans="1:7" x14ac:dyDescent="0.25">
      <c r="A140">
        <v>138</v>
      </c>
      <c r="B140" t="s">
        <v>132</v>
      </c>
      <c r="D140" t="s">
        <v>37</v>
      </c>
      <c r="E140" t="s">
        <v>16</v>
      </c>
      <c r="F140">
        <v>-10</v>
      </c>
      <c r="G140" t="s">
        <v>17</v>
      </c>
    </row>
    <row r="141" spans="1:7" x14ac:dyDescent="0.25">
      <c r="A141">
        <v>139</v>
      </c>
      <c r="B141" t="s">
        <v>77</v>
      </c>
      <c r="C141" t="s">
        <v>33</v>
      </c>
      <c r="D141" t="s">
        <v>37</v>
      </c>
      <c r="E141" t="s">
        <v>16</v>
      </c>
      <c r="G141" t="s">
        <v>13</v>
      </c>
    </row>
    <row r="142" spans="1:7" x14ac:dyDescent="0.25">
      <c r="A142">
        <v>140</v>
      </c>
      <c r="B142" t="s">
        <v>133</v>
      </c>
      <c r="C142" t="s">
        <v>12</v>
      </c>
      <c r="D142" t="s">
        <v>19</v>
      </c>
      <c r="E142" t="s">
        <v>16</v>
      </c>
      <c r="F142" t="s">
        <v>35</v>
      </c>
      <c r="G142" t="s">
        <v>10</v>
      </c>
    </row>
    <row r="143" spans="1:7" x14ac:dyDescent="0.25">
      <c r="A143">
        <v>141</v>
      </c>
      <c r="B143" t="s">
        <v>97</v>
      </c>
      <c r="E143" t="s">
        <v>16</v>
      </c>
      <c r="F143" t="s">
        <v>35</v>
      </c>
    </row>
    <row r="144" spans="1:7" x14ac:dyDescent="0.25">
      <c r="A144">
        <v>142</v>
      </c>
      <c r="B144" t="s">
        <v>48</v>
      </c>
      <c r="C144" t="s">
        <v>8</v>
      </c>
      <c r="D144" t="s">
        <v>37</v>
      </c>
      <c r="F144">
        <v>-10</v>
      </c>
      <c r="G144" t="s">
        <v>21</v>
      </c>
    </row>
    <row r="145" spans="1:7" x14ac:dyDescent="0.25">
      <c r="A145">
        <v>143</v>
      </c>
      <c r="B145" t="s">
        <v>134</v>
      </c>
      <c r="C145" t="s">
        <v>12</v>
      </c>
      <c r="D145" t="s">
        <v>23</v>
      </c>
      <c r="F145">
        <v>-10</v>
      </c>
      <c r="G145" t="s">
        <v>17</v>
      </c>
    </row>
    <row r="146" spans="1:7" x14ac:dyDescent="0.25">
      <c r="A146">
        <v>144</v>
      </c>
      <c r="B146" t="s">
        <v>135</v>
      </c>
      <c r="C146" t="s">
        <v>8</v>
      </c>
      <c r="D146" t="s">
        <v>23</v>
      </c>
      <c r="F146">
        <v>87.13</v>
      </c>
    </row>
    <row r="147" spans="1:7" x14ac:dyDescent="0.25">
      <c r="A147">
        <v>113</v>
      </c>
      <c r="B147" t="s">
        <v>81</v>
      </c>
      <c r="C147" t="s">
        <v>33</v>
      </c>
      <c r="D147" t="s">
        <v>31</v>
      </c>
      <c r="E147">
        <v>-3</v>
      </c>
      <c r="G147" t="s">
        <v>10</v>
      </c>
    </row>
    <row r="148" spans="1:7" x14ac:dyDescent="0.25">
      <c r="A148">
        <v>146</v>
      </c>
      <c r="B148" t="s">
        <v>73</v>
      </c>
      <c r="C148" t="s">
        <v>12</v>
      </c>
      <c r="D148" t="s">
        <v>53</v>
      </c>
      <c r="E148">
        <v>-3</v>
      </c>
      <c r="F148" t="s">
        <v>35</v>
      </c>
      <c r="G148" t="s">
        <v>21</v>
      </c>
    </row>
    <row r="149" spans="1:7" x14ac:dyDescent="0.25">
      <c r="A149">
        <v>147</v>
      </c>
      <c r="B149" t="s">
        <v>136</v>
      </c>
      <c r="C149" t="s">
        <v>12</v>
      </c>
      <c r="D149" t="s">
        <v>37</v>
      </c>
      <c r="E149" t="s">
        <v>16</v>
      </c>
      <c r="G149" t="s">
        <v>17</v>
      </c>
    </row>
    <row r="150" spans="1:7" x14ac:dyDescent="0.25">
      <c r="A150">
        <v>148</v>
      </c>
      <c r="B150" t="s">
        <v>85</v>
      </c>
      <c r="C150" t="s">
        <v>12</v>
      </c>
      <c r="D150" t="s">
        <v>31</v>
      </c>
      <c r="G150" t="s">
        <v>10</v>
      </c>
    </row>
    <row r="151" spans="1:7" x14ac:dyDescent="0.25">
      <c r="A151">
        <v>149</v>
      </c>
      <c r="B151" t="s">
        <v>83</v>
      </c>
      <c r="C151" t="s">
        <v>8</v>
      </c>
      <c r="D151" t="s">
        <v>23</v>
      </c>
      <c r="E151">
        <v>13</v>
      </c>
      <c r="F151">
        <v>-10</v>
      </c>
      <c r="G151" t="s">
        <v>21</v>
      </c>
    </row>
    <row r="152" spans="1:7" x14ac:dyDescent="0.25">
      <c r="A152">
        <v>150</v>
      </c>
      <c r="B152" t="s">
        <v>101</v>
      </c>
      <c r="C152" t="s">
        <v>33</v>
      </c>
      <c r="D152" t="s">
        <v>47</v>
      </c>
      <c r="E152" t="s">
        <v>16</v>
      </c>
      <c r="F152">
        <v>66.430000000000007</v>
      </c>
      <c r="G152" t="s">
        <v>17</v>
      </c>
    </row>
    <row r="153" spans="1:7" x14ac:dyDescent="0.25">
      <c r="A153">
        <v>151</v>
      </c>
      <c r="B153" t="s">
        <v>116</v>
      </c>
      <c r="C153" t="s">
        <v>33</v>
      </c>
      <c r="D153" t="s">
        <v>19</v>
      </c>
      <c r="E153">
        <v>-3</v>
      </c>
      <c r="G153" t="s">
        <v>49</v>
      </c>
    </row>
    <row r="154" spans="1:7" x14ac:dyDescent="0.25">
      <c r="A154">
        <v>152</v>
      </c>
      <c r="B154" t="s">
        <v>137</v>
      </c>
      <c r="C154" t="s">
        <v>12</v>
      </c>
      <c r="D154" t="s">
        <v>47</v>
      </c>
      <c r="E154" t="s">
        <v>16</v>
      </c>
      <c r="G154" t="s">
        <v>21</v>
      </c>
    </row>
    <row r="155" spans="1:7" x14ac:dyDescent="0.25">
      <c r="A155">
        <v>153</v>
      </c>
      <c r="B155" t="s">
        <v>130</v>
      </c>
      <c r="E155" t="s">
        <v>16</v>
      </c>
      <c r="G155" t="s">
        <v>13</v>
      </c>
    </row>
    <row r="156" spans="1:7" x14ac:dyDescent="0.25">
      <c r="A156">
        <v>154</v>
      </c>
      <c r="B156" t="s">
        <v>138</v>
      </c>
      <c r="C156" t="s">
        <v>26</v>
      </c>
      <c r="D156" t="s">
        <v>15</v>
      </c>
      <c r="F156">
        <v>382.51</v>
      </c>
      <c r="G156" t="s">
        <v>13</v>
      </c>
    </row>
    <row r="157" spans="1:7" x14ac:dyDescent="0.25">
      <c r="A157">
        <v>155</v>
      </c>
      <c r="B157" t="s">
        <v>139</v>
      </c>
      <c r="C157" t="s">
        <v>33</v>
      </c>
      <c r="D157" t="s">
        <v>31</v>
      </c>
      <c r="E157">
        <v>-3</v>
      </c>
      <c r="F157" t="s">
        <v>35</v>
      </c>
    </row>
    <row r="158" spans="1:7" x14ac:dyDescent="0.25">
      <c r="A158">
        <v>156</v>
      </c>
      <c r="B158" t="s">
        <v>42</v>
      </c>
      <c r="C158" t="s">
        <v>12</v>
      </c>
      <c r="D158" t="s">
        <v>31</v>
      </c>
      <c r="E158" t="s">
        <v>16</v>
      </c>
      <c r="F158">
        <v>400.2</v>
      </c>
      <c r="G158" t="s">
        <v>17</v>
      </c>
    </row>
    <row r="159" spans="1:7" x14ac:dyDescent="0.25">
      <c r="A159">
        <v>157</v>
      </c>
      <c r="B159" t="s">
        <v>135</v>
      </c>
      <c r="C159" t="s">
        <v>33</v>
      </c>
      <c r="D159" t="s">
        <v>31</v>
      </c>
      <c r="E159">
        <v>2</v>
      </c>
      <c r="F159" t="s">
        <v>35</v>
      </c>
      <c r="G159" t="s">
        <v>21</v>
      </c>
    </row>
    <row r="160" spans="1:7" x14ac:dyDescent="0.25">
      <c r="A160">
        <v>158</v>
      </c>
      <c r="B160" t="s">
        <v>91</v>
      </c>
      <c r="E160">
        <v>-3</v>
      </c>
      <c r="F160">
        <v>294.36</v>
      </c>
      <c r="G160" t="s">
        <v>49</v>
      </c>
    </row>
    <row r="161" spans="1:7" x14ac:dyDescent="0.25">
      <c r="A161">
        <v>159</v>
      </c>
      <c r="B161" t="s">
        <v>45</v>
      </c>
      <c r="C161" t="s">
        <v>26</v>
      </c>
      <c r="D161" t="s">
        <v>19</v>
      </c>
      <c r="E161">
        <v>-3</v>
      </c>
      <c r="F161">
        <v>255.67</v>
      </c>
      <c r="G161" t="s">
        <v>49</v>
      </c>
    </row>
    <row r="162" spans="1:7" x14ac:dyDescent="0.25">
      <c r="A162">
        <v>160</v>
      </c>
      <c r="B162" t="s">
        <v>140</v>
      </c>
      <c r="C162" t="s">
        <v>12</v>
      </c>
      <c r="E162">
        <v>6</v>
      </c>
      <c r="F162">
        <v>-10</v>
      </c>
      <c r="G162" t="s">
        <v>49</v>
      </c>
    </row>
    <row r="163" spans="1:7" x14ac:dyDescent="0.25">
      <c r="A163">
        <v>161</v>
      </c>
      <c r="B163" t="s">
        <v>141</v>
      </c>
      <c r="C163" t="s">
        <v>26</v>
      </c>
      <c r="D163" t="s">
        <v>19</v>
      </c>
      <c r="E163" t="s">
        <v>16</v>
      </c>
      <c r="F163" t="s">
        <v>35</v>
      </c>
    </row>
    <row r="164" spans="1:7" x14ac:dyDescent="0.25">
      <c r="A164">
        <v>162</v>
      </c>
      <c r="B164" t="s">
        <v>76</v>
      </c>
      <c r="C164" t="s">
        <v>8</v>
      </c>
      <c r="D164" t="s">
        <v>23</v>
      </c>
      <c r="E164">
        <v>11</v>
      </c>
      <c r="F164">
        <v>-10</v>
      </c>
      <c r="G164" t="s">
        <v>17</v>
      </c>
    </row>
    <row r="165" spans="1:7" x14ac:dyDescent="0.25">
      <c r="A165">
        <v>163</v>
      </c>
      <c r="B165" t="s">
        <v>142</v>
      </c>
      <c r="D165" t="s">
        <v>15</v>
      </c>
      <c r="E165">
        <v>11</v>
      </c>
      <c r="G165" t="s">
        <v>17</v>
      </c>
    </row>
    <row r="166" spans="1:7" x14ac:dyDescent="0.25">
      <c r="A166">
        <v>164</v>
      </c>
      <c r="B166" t="s">
        <v>143</v>
      </c>
      <c r="C166" t="s">
        <v>33</v>
      </c>
      <c r="D166" t="s">
        <v>15</v>
      </c>
      <c r="E166">
        <v>20</v>
      </c>
      <c r="F166">
        <v>-10</v>
      </c>
    </row>
    <row r="167" spans="1:7" x14ac:dyDescent="0.25">
      <c r="A167">
        <v>165</v>
      </c>
      <c r="B167" t="s">
        <v>127</v>
      </c>
      <c r="D167" t="s">
        <v>23</v>
      </c>
      <c r="E167" t="s">
        <v>16</v>
      </c>
      <c r="F167" t="s">
        <v>35</v>
      </c>
      <c r="G167" t="s">
        <v>13</v>
      </c>
    </row>
    <row r="168" spans="1:7" x14ac:dyDescent="0.25">
      <c r="A168">
        <v>166</v>
      </c>
      <c r="B168" t="s">
        <v>140</v>
      </c>
      <c r="C168" t="s">
        <v>33</v>
      </c>
      <c r="D168" t="s">
        <v>9</v>
      </c>
      <c r="F168" t="s">
        <v>35</v>
      </c>
      <c r="G168" t="s">
        <v>21</v>
      </c>
    </row>
    <row r="169" spans="1:7" x14ac:dyDescent="0.25">
      <c r="A169">
        <v>167</v>
      </c>
      <c r="B169" t="s">
        <v>118</v>
      </c>
      <c r="D169" t="s">
        <v>37</v>
      </c>
      <c r="G169" t="s">
        <v>13</v>
      </c>
    </row>
    <row r="170" spans="1:7" x14ac:dyDescent="0.25">
      <c r="A170">
        <v>168</v>
      </c>
      <c r="B170" t="s">
        <v>103</v>
      </c>
      <c r="D170" t="s">
        <v>15</v>
      </c>
      <c r="E170">
        <v>15</v>
      </c>
      <c r="G170" t="s">
        <v>49</v>
      </c>
    </row>
    <row r="171" spans="1:7" x14ac:dyDescent="0.25">
      <c r="A171">
        <v>169</v>
      </c>
      <c r="B171" t="s">
        <v>77</v>
      </c>
      <c r="C171" t="s">
        <v>33</v>
      </c>
      <c r="D171" t="s">
        <v>9</v>
      </c>
      <c r="F171">
        <v>-10</v>
      </c>
      <c r="G171" t="s">
        <v>13</v>
      </c>
    </row>
    <row r="172" spans="1:7" x14ac:dyDescent="0.25">
      <c r="A172">
        <v>170</v>
      </c>
      <c r="B172" t="s">
        <v>45</v>
      </c>
      <c r="C172" t="s">
        <v>33</v>
      </c>
      <c r="D172" t="s">
        <v>31</v>
      </c>
      <c r="E172">
        <v>-3</v>
      </c>
      <c r="F172">
        <v>-10</v>
      </c>
      <c r="G172" t="s">
        <v>13</v>
      </c>
    </row>
    <row r="173" spans="1:7" x14ac:dyDescent="0.25">
      <c r="A173">
        <v>171</v>
      </c>
      <c r="B173" t="s">
        <v>100</v>
      </c>
      <c r="C173" t="s">
        <v>26</v>
      </c>
      <c r="D173" t="s">
        <v>53</v>
      </c>
      <c r="E173">
        <v>-3</v>
      </c>
      <c r="F173">
        <v>438.32</v>
      </c>
    </row>
    <row r="174" spans="1:7" x14ac:dyDescent="0.25">
      <c r="A174">
        <v>172</v>
      </c>
      <c r="B174" t="s">
        <v>71</v>
      </c>
      <c r="C174" t="s">
        <v>8</v>
      </c>
      <c r="D174" t="s">
        <v>23</v>
      </c>
      <c r="E174" t="s">
        <v>16</v>
      </c>
      <c r="G174" t="s">
        <v>49</v>
      </c>
    </row>
    <row r="175" spans="1:7" x14ac:dyDescent="0.25">
      <c r="A175">
        <v>56</v>
      </c>
      <c r="B175" t="s">
        <v>128</v>
      </c>
      <c r="C175" t="s">
        <v>8</v>
      </c>
      <c r="D175" t="s">
        <v>37</v>
      </c>
      <c r="E175">
        <v>14</v>
      </c>
      <c r="F175" t="s">
        <v>35</v>
      </c>
      <c r="G175" t="s">
        <v>13</v>
      </c>
    </row>
    <row r="176" spans="1:7" x14ac:dyDescent="0.25">
      <c r="A176">
        <v>174</v>
      </c>
      <c r="B176" t="s">
        <v>144</v>
      </c>
      <c r="C176" t="s">
        <v>8</v>
      </c>
      <c r="D176" t="s">
        <v>9</v>
      </c>
      <c r="E176" t="s">
        <v>16</v>
      </c>
      <c r="F176" t="s">
        <v>35</v>
      </c>
      <c r="G176" t="s">
        <v>13</v>
      </c>
    </row>
    <row r="177" spans="1:7" x14ac:dyDescent="0.25">
      <c r="A177">
        <v>175</v>
      </c>
      <c r="B177" t="s">
        <v>111</v>
      </c>
      <c r="C177" t="s">
        <v>33</v>
      </c>
      <c r="D177" t="s">
        <v>15</v>
      </c>
      <c r="E177">
        <v>-3</v>
      </c>
      <c r="F177">
        <v>311.52</v>
      </c>
      <c r="G177" t="s">
        <v>21</v>
      </c>
    </row>
    <row r="178" spans="1:7" x14ac:dyDescent="0.25">
      <c r="A178">
        <v>176</v>
      </c>
      <c r="B178" t="s">
        <v>145</v>
      </c>
      <c r="E178">
        <v>14</v>
      </c>
      <c r="G178" t="s">
        <v>17</v>
      </c>
    </row>
    <row r="179" spans="1:7" x14ac:dyDescent="0.25">
      <c r="A179">
        <v>177</v>
      </c>
      <c r="B179" t="s">
        <v>109</v>
      </c>
      <c r="C179" t="s">
        <v>33</v>
      </c>
      <c r="D179" t="s">
        <v>31</v>
      </c>
      <c r="E179">
        <v>3</v>
      </c>
      <c r="F179">
        <v>-10</v>
      </c>
      <c r="G179" t="s">
        <v>10</v>
      </c>
    </row>
    <row r="180" spans="1:7" x14ac:dyDescent="0.25">
      <c r="A180">
        <v>178</v>
      </c>
      <c r="B180" t="s">
        <v>76</v>
      </c>
      <c r="D180" t="s">
        <v>9</v>
      </c>
      <c r="E180" t="s">
        <v>16</v>
      </c>
      <c r="F180" t="s">
        <v>35</v>
      </c>
      <c r="G180" t="s">
        <v>13</v>
      </c>
    </row>
    <row r="181" spans="1:7" x14ac:dyDescent="0.25">
      <c r="A181">
        <v>179</v>
      </c>
      <c r="B181" t="s">
        <v>146</v>
      </c>
      <c r="C181" t="s">
        <v>12</v>
      </c>
      <c r="E181">
        <v>12</v>
      </c>
      <c r="F181">
        <v>477.17</v>
      </c>
      <c r="G181" t="s">
        <v>49</v>
      </c>
    </row>
    <row r="182" spans="1:7" x14ac:dyDescent="0.25">
      <c r="A182">
        <v>180</v>
      </c>
      <c r="B182" t="s">
        <v>147</v>
      </c>
      <c r="C182" t="s">
        <v>33</v>
      </c>
      <c r="D182" t="s">
        <v>19</v>
      </c>
      <c r="E182">
        <v>9</v>
      </c>
      <c r="F182">
        <v>184.98</v>
      </c>
      <c r="G182" t="s">
        <v>17</v>
      </c>
    </row>
    <row r="183" spans="1:7" x14ac:dyDescent="0.25">
      <c r="A183">
        <v>181</v>
      </c>
      <c r="B183" t="s">
        <v>142</v>
      </c>
      <c r="C183" t="s">
        <v>12</v>
      </c>
      <c r="D183" t="s">
        <v>19</v>
      </c>
      <c r="E183">
        <v>5</v>
      </c>
      <c r="F183" t="s">
        <v>35</v>
      </c>
    </row>
    <row r="184" spans="1:7" x14ac:dyDescent="0.25">
      <c r="A184">
        <v>182</v>
      </c>
      <c r="B184" t="s">
        <v>115</v>
      </c>
      <c r="C184" t="s">
        <v>33</v>
      </c>
      <c r="D184" t="s">
        <v>31</v>
      </c>
      <c r="F184">
        <v>-10</v>
      </c>
      <c r="G184" t="s">
        <v>21</v>
      </c>
    </row>
    <row r="185" spans="1:7" x14ac:dyDescent="0.25">
      <c r="A185">
        <v>183</v>
      </c>
      <c r="B185" t="s">
        <v>147</v>
      </c>
      <c r="C185" t="s">
        <v>26</v>
      </c>
      <c r="D185" t="s">
        <v>37</v>
      </c>
      <c r="E185" t="s">
        <v>16</v>
      </c>
      <c r="F185">
        <v>-10</v>
      </c>
      <c r="G185" t="s">
        <v>17</v>
      </c>
    </row>
    <row r="186" spans="1:7" x14ac:dyDescent="0.25">
      <c r="A186">
        <v>165</v>
      </c>
      <c r="B186" t="s">
        <v>148</v>
      </c>
      <c r="C186" t="s">
        <v>8</v>
      </c>
      <c r="D186" t="s">
        <v>19</v>
      </c>
      <c r="E186" t="s">
        <v>16</v>
      </c>
      <c r="F186" t="s">
        <v>35</v>
      </c>
      <c r="G186" t="s">
        <v>49</v>
      </c>
    </row>
    <row r="187" spans="1:7" x14ac:dyDescent="0.25">
      <c r="A187">
        <v>185</v>
      </c>
      <c r="B187" t="s">
        <v>149</v>
      </c>
      <c r="C187" t="s">
        <v>33</v>
      </c>
      <c r="D187" t="s">
        <v>47</v>
      </c>
      <c r="F187">
        <v>-10</v>
      </c>
      <c r="G187" t="s">
        <v>17</v>
      </c>
    </row>
    <row r="188" spans="1:7" x14ac:dyDescent="0.25">
      <c r="A188">
        <v>186</v>
      </c>
      <c r="B188" t="s">
        <v>150</v>
      </c>
      <c r="C188" t="s">
        <v>8</v>
      </c>
      <c r="D188" t="s">
        <v>23</v>
      </c>
      <c r="E188">
        <v>14</v>
      </c>
      <c r="G188" t="s">
        <v>10</v>
      </c>
    </row>
    <row r="189" spans="1:7" x14ac:dyDescent="0.25">
      <c r="A189">
        <v>187</v>
      </c>
      <c r="B189" t="s">
        <v>151</v>
      </c>
      <c r="C189" t="s">
        <v>12</v>
      </c>
      <c r="D189" t="s">
        <v>19</v>
      </c>
      <c r="E189" t="s">
        <v>16</v>
      </c>
      <c r="F189">
        <v>-10</v>
      </c>
      <c r="G189" t="s">
        <v>13</v>
      </c>
    </row>
    <row r="190" spans="1:7" x14ac:dyDescent="0.25">
      <c r="A190">
        <v>188</v>
      </c>
      <c r="B190" t="s">
        <v>152</v>
      </c>
      <c r="C190" t="s">
        <v>33</v>
      </c>
      <c r="D190" t="s">
        <v>37</v>
      </c>
      <c r="E190">
        <v>-3</v>
      </c>
      <c r="F190">
        <v>144.53</v>
      </c>
      <c r="G190" t="s">
        <v>21</v>
      </c>
    </row>
    <row r="191" spans="1:7" x14ac:dyDescent="0.25">
      <c r="A191">
        <v>189</v>
      </c>
      <c r="B191" t="s">
        <v>56</v>
      </c>
      <c r="C191" t="s">
        <v>8</v>
      </c>
      <c r="E191">
        <v>6</v>
      </c>
      <c r="F191">
        <v>-10</v>
      </c>
      <c r="G191" t="s">
        <v>21</v>
      </c>
    </row>
    <row r="192" spans="1:7" x14ac:dyDescent="0.25">
      <c r="A192">
        <v>190</v>
      </c>
      <c r="B192" t="s">
        <v>51</v>
      </c>
      <c r="C192" t="s">
        <v>8</v>
      </c>
      <c r="D192" t="s">
        <v>19</v>
      </c>
      <c r="E192">
        <v>13</v>
      </c>
      <c r="F192">
        <v>-10</v>
      </c>
      <c r="G192" t="s">
        <v>17</v>
      </c>
    </row>
    <row r="193" spans="1:7" x14ac:dyDescent="0.25">
      <c r="A193">
        <v>191</v>
      </c>
      <c r="B193" t="s">
        <v>125</v>
      </c>
      <c r="C193" t="s">
        <v>12</v>
      </c>
      <c r="D193" t="s">
        <v>15</v>
      </c>
      <c r="E193" t="s">
        <v>16</v>
      </c>
      <c r="F193" t="s">
        <v>35</v>
      </c>
      <c r="G193" t="s">
        <v>13</v>
      </c>
    </row>
    <row r="194" spans="1:7" x14ac:dyDescent="0.25">
      <c r="A194">
        <v>192</v>
      </c>
      <c r="B194" t="s">
        <v>7</v>
      </c>
      <c r="C194" t="s">
        <v>26</v>
      </c>
      <c r="D194" t="s">
        <v>31</v>
      </c>
      <c r="E194">
        <v>-3</v>
      </c>
      <c r="F194">
        <v>457.64</v>
      </c>
      <c r="G194" t="s">
        <v>17</v>
      </c>
    </row>
    <row r="195" spans="1:7" x14ac:dyDescent="0.25">
      <c r="A195">
        <v>193</v>
      </c>
      <c r="B195" t="s">
        <v>79</v>
      </c>
      <c r="C195" t="s">
        <v>33</v>
      </c>
      <c r="D195" t="s">
        <v>9</v>
      </c>
      <c r="E195" t="s">
        <v>16</v>
      </c>
      <c r="F195">
        <v>-10</v>
      </c>
      <c r="G195" t="s">
        <v>13</v>
      </c>
    </row>
    <row r="196" spans="1:7" x14ac:dyDescent="0.25">
      <c r="A196">
        <v>194</v>
      </c>
      <c r="B196" t="s">
        <v>98</v>
      </c>
      <c r="C196" t="s">
        <v>33</v>
      </c>
      <c r="D196" t="s">
        <v>15</v>
      </c>
      <c r="E196">
        <v>15</v>
      </c>
      <c r="F196" t="s">
        <v>35</v>
      </c>
    </row>
    <row r="197" spans="1:7" x14ac:dyDescent="0.25">
      <c r="A197">
        <v>195</v>
      </c>
      <c r="B197" t="s">
        <v>153</v>
      </c>
      <c r="E197" t="s">
        <v>16</v>
      </c>
      <c r="G197" t="s">
        <v>17</v>
      </c>
    </row>
    <row r="198" spans="1:7" x14ac:dyDescent="0.25">
      <c r="A198">
        <v>196</v>
      </c>
      <c r="B198" t="s">
        <v>71</v>
      </c>
      <c r="C198" t="s">
        <v>26</v>
      </c>
      <c r="D198" t="s">
        <v>15</v>
      </c>
      <c r="E198">
        <v>-3</v>
      </c>
      <c r="F198" t="s">
        <v>35</v>
      </c>
      <c r="G198" t="s">
        <v>49</v>
      </c>
    </row>
    <row r="199" spans="1:7" x14ac:dyDescent="0.25">
      <c r="A199">
        <v>197</v>
      </c>
      <c r="B199" t="s">
        <v>34</v>
      </c>
      <c r="C199" t="s">
        <v>26</v>
      </c>
      <c r="D199" t="s">
        <v>23</v>
      </c>
      <c r="E199" t="s">
        <v>16</v>
      </c>
      <c r="F199">
        <v>-10</v>
      </c>
      <c r="G199" t="s">
        <v>10</v>
      </c>
    </row>
    <row r="200" spans="1:7" x14ac:dyDescent="0.25">
      <c r="A200">
        <v>198</v>
      </c>
      <c r="B200" t="s">
        <v>65</v>
      </c>
      <c r="D200" t="s">
        <v>23</v>
      </c>
      <c r="E200" t="s">
        <v>16</v>
      </c>
      <c r="F200">
        <v>-10</v>
      </c>
      <c r="G200" t="s">
        <v>49</v>
      </c>
    </row>
    <row r="201" spans="1:7" x14ac:dyDescent="0.25">
      <c r="A201">
        <v>199</v>
      </c>
      <c r="B201" t="s">
        <v>92</v>
      </c>
      <c r="C201" t="s">
        <v>26</v>
      </c>
      <c r="G201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CB58B-D0B0-49D5-A37D-47E10AFA40FC}">
  <dimension ref="A1:J201"/>
  <sheetViews>
    <sheetView workbookViewId="0">
      <selection activeCell="F24" sqref="F24"/>
    </sheetView>
  </sheetViews>
  <sheetFormatPr defaultRowHeight="15" x14ac:dyDescent="0.25"/>
  <cols>
    <col min="1" max="1" width="20.28515625" bestFit="1" customWidth="1"/>
    <col min="2" max="2" width="10.42578125" bestFit="1" customWidth="1"/>
    <col min="3" max="3" width="14.85546875" bestFit="1" customWidth="1"/>
    <col min="4" max="4" width="72.85546875" bestFit="1" customWidth="1"/>
    <col min="5" max="5" width="14.42578125" bestFit="1" customWidth="1"/>
    <col min="6" max="6" width="16" bestFit="1" customWidth="1"/>
    <col min="7" max="7" width="16.42578125" customWidth="1"/>
    <col min="8" max="8" width="18.140625" customWidth="1"/>
    <col min="10" max="10" width="16" customWidth="1"/>
  </cols>
  <sheetData>
    <row r="1" spans="1:10" x14ac:dyDescent="0.25">
      <c r="A1" t="s">
        <v>154</v>
      </c>
      <c r="B1" t="s">
        <v>0</v>
      </c>
      <c r="C1" t="s">
        <v>155</v>
      </c>
      <c r="D1" t="s">
        <v>156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</row>
    <row r="2" spans="1:10" x14ac:dyDescent="0.25">
      <c r="A2">
        <f>ROW() -2</f>
        <v>0</v>
      </c>
      <c r="B2">
        <v>0</v>
      </c>
      <c r="C2" t="str">
        <f t="shared" ref="C2:C33" si="0">IF(AND(B2&lt;&gt;"",E2&lt;&gt;"",F2&lt;&gt;"",G2&lt;&gt;"",H2&lt;&gt;"",I2&lt;&gt;"",J2&lt;&gt;""),"COMPLETA","INCOMPLETA")</f>
        <v>INCOMPLETA</v>
      </c>
      <c r="D2" t="str">
        <f t="shared" ref="D2:D33" si="1">_xlfn.TEXTJOIN("; ", TRUE,
  IF(H2="", "QUANTIDADE_VAZIA", ""),
  IF(AND(ISNUMBER(H2), H2&lt;0), "QUANTIDADE_NEGATIVA", ""),
  IF(I2="", "PRECO_VAZIA", ""),
  IF(AND(ISNUMBER(I2), I2&lt;0), "PRECO_NEGATIVO", ""),
  IF(AND(I2&lt;&gt;"", NOT(ISNUMBER(I2))), "PRECO_TEXTO", ""),
  IF(F2="", "CLIENTE_VAZIA", ""),
  IF(G2="", "PRODUTO_VAZIA", ""),
  IF(J2="", "CIDADE_VAZIA", ""),
  IF(E2="", "DATA_VAZIA", "")
)</f>
        <v>QUANTIDADE_VAZIA</v>
      </c>
      <c r="E2" t="s">
        <v>7</v>
      </c>
      <c r="F2" t="s">
        <v>8</v>
      </c>
      <c r="G2" t="s">
        <v>9</v>
      </c>
      <c r="I2">
        <v>370.87</v>
      </c>
      <c r="J2" t="s">
        <v>10</v>
      </c>
    </row>
    <row r="3" spans="1:10" x14ac:dyDescent="0.25">
      <c r="A3">
        <f t="shared" ref="A3:A66" si="2">ROW() -2</f>
        <v>1</v>
      </c>
      <c r="B3">
        <v>1</v>
      </c>
      <c r="C3" t="str">
        <f t="shared" si="0"/>
        <v>COMPLETA</v>
      </c>
      <c r="D3" t="str">
        <f t="shared" si="1"/>
        <v>PRECO_NEGATIVO</v>
      </c>
      <c r="E3" t="s">
        <v>11</v>
      </c>
      <c r="F3" t="s">
        <v>12</v>
      </c>
      <c r="G3" t="s">
        <v>9</v>
      </c>
      <c r="H3">
        <v>8</v>
      </c>
      <c r="I3">
        <v>-10</v>
      </c>
      <c r="J3" t="s">
        <v>13</v>
      </c>
    </row>
    <row r="4" spans="1:10" x14ac:dyDescent="0.25">
      <c r="A4">
        <f t="shared" si="2"/>
        <v>2</v>
      </c>
      <c r="B4">
        <v>2</v>
      </c>
      <c r="C4" t="str">
        <f t="shared" si="0"/>
        <v>INCOMPLETA</v>
      </c>
      <c r="D4" t="str">
        <f t="shared" si="1"/>
        <v>PRECO_VAZIA</v>
      </c>
      <c r="E4" t="s">
        <v>14</v>
      </c>
      <c r="F4" t="s">
        <v>12</v>
      </c>
      <c r="G4" t="s">
        <v>15</v>
      </c>
      <c r="H4">
        <v>10</v>
      </c>
      <c r="J4" t="s">
        <v>17</v>
      </c>
    </row>
    <row r="5" spans="1:10" x14ac:dyDescent="0.25">
      <c r="A5">
        <f t="shared" si="2"/>
        <v>3</v>
      </c>
      <c r="B5">
        <v>3</v>
      </c>
      <c r="C5" t="str">
        <f t="shared" si="0"/>
        <v>COMPLETA</v>
      </c>
      <c r="D5" t="str">
        <f t="shared" si="1"/>
        <v>PRECO_NEGATIVO</v>
      </c>
      <c r="E5" t="s">
        <v>18</v>
      </c>
      <c r="F5" t="s">
        <v>12</v>
      </c>
      <c r="G5" t="s">
        <v>19</v>
      </c>
      <c r="H5">
        <v>10</v>
      </c>
      <c r="I5">
        <v>-10</v>
      </c>
      <c r="J5" t="s">
        <v>10</v>
      </c>
    </row>
    <row r="6" spans="1:10" x14ac:dyDescent="0.25">
      <c r="A6">
        <f t="shared" si="2"/>
        <v>4</v>
      </c>
      <c r="B6">
        <v>4</v>
      </c>
      <c r="C6" t="str">
        <f t="shared" si="0"/>
        <v>INCOMPLETA</v>
      </c>
      <c r="D6" t="str">
        <f t="shared" si="1"/>
        <v>PRODUTO_VAZIA</v>
      </c>
      <c r="E6" t="s">
        <v>20</v>
      </c>
      <c r="F6" t="s">
        <v>12</v>
      </c>
      <c r="H6">
        <v>10</v>
      </c>
      <c r="I6">
        <v>292.89999999999998</v>
      </c>
      <c r="J6" t="s">
        <v>21</v>
      </c>
    </row>
    <row r="7" spans="1:10" x14ac:dyDescent="0.25">
      <c r="A7">
        <f t="shared" si="2"/>
        <v>5</v>
      </c>
      <c r="B7">
        <v>5</v>
      </c>
      <c r="C7" t="str">
        <f t="shared" si="0"/>
        <v>INCOMPLETA</v>
      </c>
      <c r="D7" t="str">
        <f t="shared" si="1"/>
        <v>PRECO_NEGATIVO; CIDADE_VAZIA</v>
      </c>
      <c r="E7" t="s">
        <v>22</v>
      </c>
      <c r="F7" t="s">
        <v>8</v>
      </c>
      <c r="G7" t="s">
        <v>23</v>
      </c>
      <c r="H7">
        <v>8</v>
      </c>
      <c r="I7">
        <v>-10</v>
      </c>
    </row>
    <row r="8" spans="1:10" x14ac:dyDescent="0.25">
      <c r="A8">
        <f t="shared" si="2"/>
        <v>6</v>
      </c>
      <c r="B8">
        <v>6</v>
      </c>
      <c r="C8" t="str">
        <f t="shared" si="0"/>
        <v>COMPLETA</v>
      </c>
      <c r="D8" t="str">
        <f t="shared" si="1"/>
        <v/>
      </c>
      <c r="E8" t="s">
        <v>24</v>
      </c>
      <c r="F8" t="s">
        <v>8</v>
      </c>
      <c r="G8" t="s">
        <v>19</v>
      </c>
      <c r="H8">
        <v>10</v>
      </c>
      <c r="I8">
        <v>353.89</v>
      </c>
      <c r="J8" t="s">
        <v>10</v>
      </c>
    </row>
    <row r="9" spans="1:10" x14ac:dyDescent="0.25">
      <c r="A9">
        <f t="shared" si="2"/>
        <v>7</v>
      </c>
      <c r="B9">
        <v>7</v>
      </c>
      <c r="C9" t="str">
        <f t="shared" si="0"/>
        <v>INCOMPLETA</v>
      </c>
      <c r="D9" t="str">
        <f t="shared" si="1"/>
        <v>QUANTIDADE_NEGATIVA; PRECO_VAZIA; CIDADE_VAZIA</v>
      </c>
      <c r="E9" t="s">
        <v>25</v>
      </c>
      <c r="F9" t="s">
        <v>26</v>
      </c>
      <c r="G9" t="s">
        <v>15</v>
      </c>
      <c r="H9">
        <v>-3</v>
      </c>
    </row>
    <row r="10" spans="1:10" x14ac:dyDescent="0.25">
      <c r="A10">
        <f t="shared" si="2"/>
        <v>8</v>
      </c>
      <c r="B10">
        <v>8</v>
      </c>
      <c r="C10" t="str">
        <f t="shared" si="0"/>
        <v>COMPLETA</v>
      </c>
      <c r="D10" t="str">
        <f t="shared" si="1"/>
        <v/>
      </c>
      <c r="E10" t="s">
        <v>27</v>
      </c>
      <c r="F10" t="s">
        <v>12</v>
      </c>
      <c r="G10" t="s">
        <v>9</v>
      </c>
      <c r="H10">
        <v>10</v>
      </c>
      <c r="I10">
        <v>206.57</v>
      </c>
      <c r="J10" t="s">
        <v>13</v>
      </c>
    </row>
    <row r="11" spans="1:10" x14ac:dyDescent="0.25">
      <c r="A11">
        <f t="shared" si="2"/>
        <v>9</v>
      </c>
      <c r="B11">
        <v>8</v>
      </c>
      <c r="C11" t="str">
        <f t="shared" si="0"/>
        <v>INCOMPLETA</v>
      </c>
      <c r="D11" t="str">
        <f t="shared" si="1"/>
        <v>PRECO_VAZIA; PRODUTO_VAZIA</v>
      </c>
      <c r="E11" t="s">
        <v>44</v>
      </c>
      <c r="F11" t="s">
        <v>12</v>
      </c>
      <c r="H11">
        <v>10</v>
      </c>
      <c r="J11" t="s">
        <v>10</v>
      </c>
    </row>
    <row r="12" spans="1:10" x14ac:dyDescent="0.25">
      <c r="A12">
        <f t="shared" si="2"/>
        <v>10</v>
      </c>
      <c r="B12">
        <v>9</v>
      </c>
      <c r="C12" t="str">
        <f t="shared" si="0"/>
        <v>COMPLETA</v>
      </c>
      <c r="D12" t="str">
        <f t="shared" si="1"/>
        <v>QUANTIDADE_NEGATIVA; PRECO_NEGATIVO</v>
      </c>
      <c r="E12" t="s">
        <v>28</v>
      </c>
      <c r="F12" t="s">
        <v>8</v>
      </c>
      <c r="G12" t="s">
        <v>9</v>
      </c>
      <c r="H12">
        <v>-3</v>
      </c>
      <c r="I12">
        <v>-10</v>
      </c>
      <c r="J12" t="s">
        <v>13</v>
      </c>
    </row>
    <row r="13" spans="1:10" x14ac:dyDescent="0.25">
      <c r="A13">
        <f t="shared" si="2"/>
        <v>11</v>
      </c>
      <c r="B13">
        <v>10</v>
      </c>
      <c r="C13" t="str">
        <f t="shared" si="0"/>
        <v>INCOMPLETA</v>
      </c>
      <c r="D13" t="str">
        <f t="shared" si="1"/>
        <v>QUANTIDADE_NEGATIVA; PRECO_NEGATIVO; CLIENTE_VAZIA; PRODUTO_VAZIA</v>
      </c>
      <c r="E13" t="s">
        <v>29</v>
      </c>
      <c r="H13">
        <v>-3</v>
      </c>
      <c r="I13">
        <v>-10</v>
      </c>
      <c r="J13" t="s">
        <v>17</v>
      </c>
    </row>
    <row r="14" spans="1:10" x14ac:dyDescent="0.25">
      <c r="A14">
        <f t="shared" si="2"/>
        <v>12</v>
      </c>
      <c r="B14">
        <v>11</v>
      </c>
      <c r="C14" t="str">
        <f t="shared" si="0"/>
        <v>INCOMPLETA</v>
      </c>
      <c r="D14" t="str">
        <f t="shared" si="1"/>
        <v>PRECO_VAZIA; CLIENTE_VAZIA; CIDADE_VAZIA</v>
      </c>
      <c r="E14" t="s">
        <v>30</v>
      </c>
      <c r="G14" t="s">
        <v>31</v>
      </c>
      <c r="H14">
        <v>3</v>
      </c>
    </row>
    <row r="15" spans="1:10" x14ac:dyDescent="0.25">
      <c r="A15">
        <f t="shared" si="2"/>
        <v>13</v>
      </c>
      <c r="B15">
        <v>12</v>
      </c>
      <c r="C15" t="str">
        <f t="shared" si="0"/>
        <v>COMPLETA</v>
      </c>
      <c r="D15" t="str">
        <f t="shared" si="1"/>
        <v>QUANTIDADE_NEGATIVA; PRECO_NEGATIVO</v>
      </c>
      <c r="E15" t="s">
        <v>32</v>
      </c>
      <c r="F15" t="s">
        <v>33</v>
      </c>
      <c r="G15" t="s">
        <v>23</v>
      </c>
      <c r="H15">
        <v>-3</v>
      </c>
      <c r="I15">
        <v>-10</v>
      </c>
      <c r="J15" t="s">
        <v>10</v>
      </c>
    </row>
    <row r="16" spans="1:10" x14ac:dyDescent="0.25">
      <c r="A16">
        <f t="shared" si="2"/>
        <v>14</v>
      </c>
      <c r="B16">
        <v>13</v>
      </c>
      <c r="C16" t="str">
        <f t="shared" si="0"/>
        <v>COMPLETA</v>
      </c>
      <c r="D16" t="str">
        <f t="shared" si="1"/>
        <v>PRECO_TEXTO</v>
      </c>
      <c r="E16" t="s">
        <v>34</v>
      </c>
      <c r="F16" t="s">
        <v>12</v>
      </c>
      <c r="G16" t="s">
        <v>23</v>
      </c>
      <c r="H16">
        <v>10</v>
      </c>
      <c r="I16" t="s">
        <v>35</v>
      </c>
      <c r="J16" t="s">
        <v>21</v>
      </c>
    </row>
    <row r="17" spans="1:10" x14ac:dyDescent="0.25">
      <c r="A17">
        <f t="shared" si="2"/>
        <v>15</v>
      </c>
      <c r="B17">
        <v>14</v>
      </c>
      <c r="C17" t="str">
        <f t="shared" si="0"/>
        <v>INCOMPLETA</v>
      </c>
      <c r="D17" t="str">
        <f t="shared" si="1"/>
        <v>QUANTIDADE_VAZIA; CIDADE_VAZIA</v>
      </c>
      <c r="E17" t="s">
        <v>36</v>
      </c>
      <c r="F17" t="s">
        <v>33</v>
      </c>
      <c r="G17" t="s">
        <v>37</v>
      </c>
      <c r="I17">
        <v>258.76</v>
      </c>
    </row>
    <row r="18" spans="1:10" x14ac:dyDescent="0.25">
      <c r="A18">
        <f t="shared" si="2"/>
        <v>16</v>
      </c>
      <c r="B18">
        <v>15</v>
      </c>
      <c r="C18" t="str">
        <f t="shared" si="0"/>
        <v>INCOMPLETA</v>
      </c>
      <c r="D18" t="str">
        <f t="shared" si="1"/>
        <v>CLIENTE_VAZIA</v>
      </c>
      <c r="E18" t="s">
        <v>38</v>
      </c>
      <c r="G18" t="s">
        <v>9</v>
      </c>
      <c r="H18">
        <v>10</v>
      </c>
      <c r="I18">
        <v>383.63</v>
      </c>
      <c r="J18" t="s">
        <v>10</v>
      </c>
    </row>
    <row r="19" spans="1:10" x14ac:dyDescent="0.25">
      <c r="A19">
        <f t="shared" si="2"/>
        <v>17</v>
      </c>
      <c r="B19">
        <v>16</v>
      </c>
      <c r="C19" t="str">
        <f t="shared" si="0"/>
        <v>INCOMPLETA</v>
      </c>
      <c r="D19" t="str">
        <f t="shared" si="1"/>
        <v>QUANTIDADE_VAZIA</v>
      </c>
      <c r="E19" t="s">
        <v>39</v>
      </c>
      <c r="F19" t="s">
        <v>12</v>
      </c>
      <c r="G19" t="s">
        <v>19</v>
      </c>
      <c r="I19">
        <v>38.380000000000003</v>
      </c>
      <c r="J19" t="s">
        <v>21</v>
      </c>
    </row>
    <row r="20" spans="1:10" x14ac:dyDescent="0.25">
      <c r="A20">
        <f t="shared" si="2"/>
        <v>18</v>
      </c>
      <c r="B20">
        <v>17</v>
      </c>
      <c r="C20" t="str">
        <f t="shared" si="0"/>
        <v>INCOMPLETA</v>
      </c>
      <c r="D20" t="str">
        <f t="shared" si="1"/>
        <v>QUANTIDADE_NEGATIVA; PRECO_VAZIA; CLIENTE_VAZIA</v>
      </c>
      <c r="E20" t="s">
        <v>40</v>
      </c>
      <c r="G20" t="s">
        <v>15</v>
      </c>
      <c r="H20">
        <v>-3</v>
      </c>
      <c r="J20" t="s">
        <v>17</v>
      </c>
    </row>
    <row r="21" spans="1:10" x14ac:dyDescent="0.25">
      <c r="A21">
        <f t="shared" si="2"/>
        <v>19</v>
      </c>
      <c r="B21">
        <v>18</v>
      </c>
      <c r="C21" t="str">
        <f t="shared" si="0"/>
        <v>INCOMPLETA</v>
      </c>
      <c r="D21" t="str">
        <f t="shared" si="1"/>
        <v>QUANTIDADE_VAZIA; PRECO_NEGATIVO; CIDADE_VAZIA</v>
      </c>
      <c r="E21" t="s">
        <v>41</v>
      </c>
      <c r="F21" t="s">
        <v>33</v>
      </c>
      <c r="G21" t="s">
        <v>9</v>
      </c>
      <c r="I21">
        <v>-10</v>
      </c>
    </row>
    <row r="22" spans="1:10" x14ac:dyDescent="0.25">
      <c r="A22">
        <f t="shared" si="2"/>
        <v>20</v>
      </c>
      <c r="B22">
        <v>19</v>
      </c>
      <c r="C22" t="str">
        <f t="shared" si="0"/>
        <v>INCOMPLETA</v>
      </c>
      <c r="D22" t="str">
        <f t="shared" si="1"/>
        <v>QUANTIDADE_VAZIA; PRECO_TEXTO; CLIENTE_VAZIA</v>
      </c>
      <c r="E22" t="s">
        <v>42</v>
      </c>
      <c r="G22" t="s">
        <v>31</v>
      </c>
      <c r="I22" t="s">
        <v>35</v>
      </c>
      <c r="J22" t="s">
        <v>21</v>
      </c>
    </row>
    <row r="23" spans="1:10" x14ac:dyDescent="0.25">
      <c r="A23">
        <f t="shared" si="2"/>
        <v>21</v>
      </c>
      <c r="B23">
        <v>19</v>
      </c>
      <c r="C23" t="str">
        <f t="shared" si="0"/>
        <v>INCOMPLETA</v>
      </c>
      <c r="D23" t="str">
        <f t="shared" si="1"/>
        <v>PRECO_VAZIA; PRODUTO_VAZIA</v>
      </c>
      <c r="E23" t="s">
        <v>63</v>
      </c>
      <c r="F23" t="s">
        <v>26</v>
      </c>
      <c r="H23">
        <v>10</v>
      </c>
      <c r="J23" t="s">
        <v>49</v>
      </c>
    </row>
    <row r="24" spans="1:10" x14ac:dyDescent="0.25">
      <c r="A24">
        <f t="shared" si="2"/>
        <v>22</v>
      </c>
      <c r="B24">
        <v>20</v>
      </c>
      <c r="C24" t="str">
        <f t="shared" si="0"/>
        <v>INCOMPLETA</v>
      </c>
      <c r="D24" t="str">
        <f t="shared" si="1"/>
        <v>CLIENTE_VAZIA</v>
      </c>
      <c r="E24" t="s">
        <v>43</v>
      </c>
      <c r="G24" t="s">
        <v>9</v>
      </c>
      <c r="H24">
        <v>1</v>
      </c>
      <c r="I24">
        <v>356.84</v>
      </c>
      <c r="J24" t="s">
        <v>13</v>
      </c>
    </row>
    <row r="25" spans="1:10" x14ac:dyDescent="0.25">
      <c r="A25">
        <f t="shared" si="2"/>
        <v>23</v>
      </c>
      <c r="B25">
        <v>22</v>
      </c>
      <c r="C25" t="str">
        <f t="shared" si="0"/>
        <v>INCOMPLETA</v>
      </c>
      <c r="D25" t="str">
        <f t="shared" si="1"/>
        <v>QUANTIDADE_NEGATIVA; PRECO_VAZIA; CLIENTE_VAZIA</v>
      </c>
      <c r="E25" t="s">
        <v>45</v>
      </c>
      <c r="G25" t="s">
        <v>31</v>
      </c>
      <c r="H25">
        <v>-3</v>
      </c>
      <c r="J25" t="s">
        <v>21</v>
      </c>
    </row>
    <row r="26" spans="1:10" x14ac:dyDescent="0.25">
      <c r="A26">
        <f t="shared" si="2"/>
        <v>24</v>
      </c>
      <c r="B26">
        <v>24</v>
      </c>
      <c r="C26" t="str">
        <f t="shared" si="0"/>
        <v>INCOMPLETA</v>
      </c>
      <c r="D26" t="str">
        <f t="shared" si="1"/>
        <v>QUANTIDADE_VAZIA; PRECO_VAZIA</v>
      </c>
      <c r="E26" t="s">
        <v>48</v>
      </c>
      <c r="F26" t="s">
        <v>12</v>
      </c>
      <c r="G26" t="s">
        <v>9</v>
      </c>
      <c r="J26" t="s">
        <v>49</v>
      </c>
    </row>
    <row r="27" spans="1:10" x14ac:dyDescent="0.25">
      <c r="A27">
        <f t="shared" si="2"/>
        <v>25</v>
      </c>
      <c r="B27">
        <v>25</v>
      </c>
      <c r="C27" t="str">
        <f t="shared" si="0"/>
        <v>COMPLETA</v>
      </c>
      <c r="D27" t="str">
        <f t="shared" si="1"/>
        <v/>
      </c>
      <c r="E27" t="s">
        <v>50</v>
      </c>
      <c r="F27" t="s">
        <v>26</v>
      </c>
      <c r="G27" t="s">
        <v>23</v>
      </c>
      <c r="H27">
        <v>15</v>
      </c>
      <c r="I27">
        <v>34.79</v>
      </c>
      <c r="J27" t="s">
        <v>21</v>
      </c>
    </row>
    <row r="28" spans="1:10" x14ac:dyDescent="0.25">
      <c r="A28">
        <f t="shared" si="2"/>
        <v>26</v>
      </c>
      <c r="B28">
        <v>26</v>
      </c>
      <c r="C28" t="str">
        <f t="shared" si="0"/>
        <v>COMPLETA</v>
      </c>
      <c r="D28" t="str">
        <f t="shared" si="1"/>
        <v>QUANTIDADE_NEGATIVA; PRECO_NEGATIVO</v>
      </c>
      <c r="E28" t="s">
        <v>51</v>
      </c>
      <c r="F28" t="s">
        <v>26</v>
      </c>
      <c r="G28" t="s">
        <v>47</v>
      </c>
      <c r="H28">
        <v>-3</v>
      </c>
      <c r="I28">
        <v>-10</v>
      </c>
      <c r="J28" t="s">
        <v>21</v>
      </c>
    </row>
    <row r="29" spans="1:10" x14ac:dyDescent="0.25">
      <c r="A29">
        <f t="shared" si="2"/>
        <v>27</v>
      </c>
      <c r="B29">
        <v>27</v>
      </c>
      <c r="C29" t="str">
        <f t="shared" si="0"/>
        <v>COMPLETA</v>
      </c>
      <c r="D29" t="str">
        <f t="shared" si="1"/>
        <v>PRECO_NEGATIVO</v>
      </c>
      <c r="E29" t="s">
        <v>52</v>
      </c>
      <c r="F29" t="s">
        <v>33</v>
      </c>
      <c r="G29" t="s">
        <v>53</v>
      </c>
      <c r="H29">
        <v>10</v>
      </c>
      <c r="I29">
        <v>-10</v>
      </c>
      <c r="J29" t="s">
        <v>13</v>
      </c>
    </row>
    <row r="30" spans="1:10" x14ac:dyDescent="0.25">
      <c r="A30">
        <f t="shared" si="2"/>
        <v>28</v>
      </c>
      <c r="B30">
        <v>28</v>
      </c>
      <c r="C30" t="str">
        <f t="shared" si="0"/>
        <v>INCOMPLETA</v>
      </c>
      <c r="D30" t="str">
        <f t="shared" si="1"/>
        <v>PRECO_NEGATIVO; PRODUTO_VAZIA</v>
      </c>
      <c r="E30" t="s">
        <v>54</v>
      </c>
      <c r="F30" t="s">
        <v>12</v>
      </c>
      <c r="H30">
        <v>10</v>
      </c>
      <c r="I30">
        <v>-10</v>
      </c>
      <c r="J30" t="s">
        <v>10</v>
      </c>
    </row>
    <row r="31" spans="1:10" x14ac:dyDescent="0.25">
      <c r="A31">
        <f t="shared" si="2"/>
        <v>29</v>
      </c>
      <c r="B31">
        <v>29</v>
      </c>
      <c r="C31" t="str">
        <f t="shared" si="0"/>
        <v>COMPLETA</v>
      </c>
      <c r="D31" t="str">
        <f t="shared" si="1"/>
        <v/>
      </c>
      <c r="E31" t="s">
        <v>55</v>
      </c>
      <c r="F31" t="s">
        <v>26</v>
      </c>
      <c r="G31" t="s">
        <v>37</v>
      </c>
      <c r="H31">
        <v>17</v>
      </c>
      <c r="I31">
        <v>427.16</v>
      </c>
      <c r="J31" t="s">
        <v>10</v>
      </c>
    </row>
    <row r="32" spans="1:10" x14ac:dyDescent="0.25">
      <c r="A32">
        <f t="shared" si="2"/>
        <v>30</v>
      </c>
      <c r="B32">
        <v>31</v>
      </c>
      <c r="C32" t="str">
        <f t="shared" si="0"/>
        <v>COMPLETA</v>
      </c>
      <c r="D32" t="str">
        <f t="shared" si="1"/>
        <v>PRECO_NEGATIVO</v>
      </c>
      <c r="E32" t="s">
        <v>57</v>
      </c>
      <c r="F32" t="s">
        <v>8</v>
      </c>
      <c r="G32" t="s">
        <v>53</v>
      </c>
      <c r="H32">
        <v>10</v>
      </c>
      <c r="I32">
        <v>-10</v>
      </c>
      <c r="J32" t="s">
        <v>13</v>
      </c>
    </row>
    <row r="33" spans="1:10" x14ac:dyDescent="0.25">
      <c r="A33">
        <f t="shared" si="2"/>
        <v>31</v>
      </c>
      <c r="B33">
        <v>32</v>
      </c>
      <c r="C33" t="str">
        <f t="shared" si="0"/>
        <v>COMPLETA</v>
      </c>
      <c r="D33" t="str">
        <f t="shared" si="1"/>
        <v/>
      </c>
      <c r="E33" t="s">
        <v>58</v>
      </c>
      <c r="F33" t="s">
        <v>33</v>
      </c>
      <c r="G33" t="s">
        <v>19</v>
      </c>
      <c r="H33">
        <v>3</v>
      </c>
      <c r="I33">
        <v>234.56</v>
      </c>
      <c r="J33" t="s">
        <v>21</v>
      </c>
    </row>
    <row r="34" spans="1:10" x14ac:dyDescent="0.25">
      <c r="A34">
        <f t="shared" si="2"/>
        <v>32</v>
      </c>
      <c r="B34">
        <v>33</v>
      </c>
      <c r="C34" t="str">
        <f t="shared" ref="C34:C65" si="3">IF(AND(B34&lt;&gt;"",E34&lt;&gt;"",F34&lt;&gt;"",G34&lt;&gt;"",H34&lt;&gt;"",I34&lt;&gt;"",J34&lt;&gt;""),"COMPLETA","INCOMPLETA")</f>
        <v>COMPLETA</v>
      </c>
      <c r="D34" t="str">
        <f t="shared" ref="D34:D65" si="4">_xlfn.TEXTJOIN("; ", TRUE,
  IF(H34="", "QUANTIDADE_VAZIA", ""),
  IF(AND(ISNUMBER(H34), H34&lt;0), "QUANTIDADE_NEGATIVA", ""),
  IF(I34="", "PRECO_VAZIA", ""),
  IF(AND(ISNUMBER(I34), I34&lt;0), "PRECO_NEGATIVO", ""),
  IF(AND(I34&lt;&gt;"", NOT(ISNUMBER(I34))), "PRECO_TEXTO", ""),
  IF(F34="", "CLIENTE_VAZIA", ""),
  IF(G34="", "PRODUTO_VAZIA", ""),
  IF(J34="", "CIDADE_VAZIA", ""),
  IF(E34="", "DATA_VAZIA", "")
)</f>
        <v>PRECO_TEXTO</v>
      </c>
      <c r="E34" t="s">
        <v>59</v>
      </c>
      <c r="F34" t="s">
        <v>8</v>
      </c>
      <c r="G34" t="s">
        <v>15</v>
      </c>
      <c r="H34">
        <v>12</v>
      </c>
      <c r="I34" t="s">
        <v>35</v>
      </c>
      <c r="J34" t="s">
        <v>17</v>
      </c>
    </row>
    <row r="35" spans="1:10" x14ac:dyDescent="0.25">
      <c r="A35">
        <f t="shared" si="2"/>
        <v>33</v>
      </c>
      <c r="B35">
        <v>34</v>
      </c>
      <c r="C35" t="str">
        <f t="shared" si="3"/>
        <v>INCOMPLETA</v>
      </c>
      <c r="D35" t="str">
        <f t="shared" si="4"/>
        <v>PRODUTO_VAZIA</v>
      </c>
      <c r="E35" t="s">
        <v>60</v>
      </c>
      <c r="F35" t="s">
        <v>8</v>
      </c>
      <c r="H35">
        <v>10</v>
      </c>
      <c r="I35">
        <v>466.56</v>
      </c>
      <c r="J35" t="s">
        <v>13</v>
      </c>
    </row>
    <row r="36" spans="1:10" x14ac:dyDescent="0.25">
      <c r="A36">
        <f t="shared" si="2"/>
        <v>34</v>
      </c>
      <c r="B36">
        <v>35</v>
      </c>
      <c r="C36" t="str">
        <f t="shared" si="3"/>
        <v>INCOMPLETA</v>
      </c>
      <c r="D36" t="str">
        <f t="shared" si="4"/>
        <v>PRECO_TEXTO; CLIENTE_VAZIA</v>
      </c>
      <c r="E36" t="s">
        <v>61</v>
      </c>
      <c r="G36" t="s">
        <v>15</v>
      </c>
      <c r="H36">
        <v>10</v>
      </c>
      <c r="I36" t="s">
        <v>35</v>
      </c>
      <c r="J36" t="s">
        <v>13</v>
      </c>
    </row>
    <row r="37" spans="1:10" x14ac:dyDescent="0.25">
      <c r="A37">
        <f t="shared" si="2"/>
        <v>35</v>
      </c>
      <c r="B37">
        <v>36</v>
      </c>
      <c r="C37" t="str">
        <f t="shared" si="3"/>
        <v>INCOMPLETA</v>
      </c>
      <c r="D37" t="str">
        <f t="shared" si="4"/>
        <v>PRECO_NEGATIVO; CLIENTE_VAZIA</v>
      </c>
      <c r="E37" t="s">
        <v>62</v>
      </c>
      <c r="G37" t="s">
        <v>31</v>
      </c>
      <c r="H37">
        <v>9</v>
      </c>
      <c r="I37">
        <v>-10</v>
      </c>
      <c r="J37" t="s">
        <v>17</v>
      </c>
    </row>
    <row r="38" spans="1:10" x14ac:dyDescent="0.25">
      <c r="A38">
        <f t="shared" si="2"/>
        <v>36</v>
      </c>
      <c r="B38">
        <v>39</v>
      </c>
      <c r="C38" t="str">
        <f t="shared" si="3"/>
        <v>INCOMPLETA</v>
      </c>
      <c r="D38" t="str">
        <f t="shared" si="4"/>
        <v>QUANTIDADE_VAZIA</v>
      </c>
      <c r="E38" t="s">
        <v>64</v>
      </c>
      <c r="F38" t="s">
        <v>8</v>
      </c>
      <c r="G38" t="s">
        <v>37</v>
      </c>
      <c r="I38">
        <v>344.21</v>
      </c>
      <c r="J38" t="s">
        <v>17</v>
      </c>
    </row>
    <row r="39" spans="1:10" x14ac:dyDescent="0.25">
      <c r="A39">
        <f t="shared" si="2"/>
        <v>37</v>
      </c>
      <c r="B39">
        <v>40</v>
      </c>
      <c r="C39" t="str">
        <f t="shared" si="3"/>
        <v>INCOMPLETA</v>
      </c>
      <c r="D39" t="str">
        <f t="shared" si="4"/>
        <v>QUANTIDADE_VAZIA; PRECO_VAZIA; CLIENTE_VAZIA</v>
      </c>
      <c r="E39" t="s">
        <v>65</v>
      </c>
      <c r="G39" t="s">
        <v>15</v>
      </c>
      <c r="J39" t="s">
        <v>49</v>
      </c>
    </row>
    <row r="40" spans="1:10" x14ac:dyDescent="0.25">
      <c r="A40">
        <f t="shared" si="2"/>
        <v>38</v>
      </c>
      <c r="B40">
        <v>42</v>
      </c>
      <c r="C40" t="str">
        <f t="shared" si="3"/>
        <v>INCOMPLETA</v>
      </c>
      <c r="D40" t="str">
        <f t="shared" si="4"/>
        <v>PRECO_VAZIA</v>
      </c>
      <c r="E40" t="s">
        <v>67</v>
      </c>
      <c r="F40" t="s">
        <v>26</v>
      </c>
      <c r="G40" t="s">
        <v>9</v>
      </c>
      <c r="H40">
        <v>10</v>
      </c>
      <c r="J40" t="s">
        <v>13</v>
      </c>
    </row>
    <row r="41" spans="1:10" x14ac:dyDescent="0.25">
      <c r="A41">
        <f t="shared" si="2"/>
        <v>39</v>
      </c>
      <c r="B41">
        <v>44</v>
      </c>
      <c r="C41" t="str">
        <f t="shared" si="3"/>
        <v>COMPLETA</v>
      </c>
      <c r="D41" t="str">
        <f t="shared" si="4"/>
        <v>PRECO_TEXTO</v>
      </c>
      <c r="E41" t="s">
        <v>69</v>
      </c>
      <c r="F41" t="s">
        <v>8</v>
      </c>
      <c r="G41" t="s">
        <v>37</v>
      </c>
      <c r="H41">
        <v>10</v>
      </c>
      <c r="I41" t="s">
        <v>35</v>
      </c>
      <c r="J41" t="s">
        <v>21</v>
      </c>
    </row>
    <row r="42" spans="1:10" x14ac:dyDescent="0.25">
      <c r="A42">
        <f t="shared" si="2"/>
        <v>40</v>
      </c>
      <c r="B42">
        <v>45</v>
      </c>
      <c r="C42" t="str">
        <f t="shared" si="3"/>
        <v>INCOMPLETA</v>
      </c>
      <c r="D42" t="str">
        <f t="shared" si="4"/>
        <v>PRECO_VAZIA</v>
      </c>
      <c r="E42" t="s">
        <v>70</v>
      </c>
      <c r="F42" t="s">
        <v>8</v>
      </c>
      <c r="G42" t="s">
        <v>19</v>
      </c>
      <c r="H42">
        <v>14</v>
      </c>
      <c r="J42" t="s">
        <v>17</v>
      </c>
    </row>
    <row r="43" spans="1:10" x14ac:dyDescent="0.25">
      <c r="A43">
        <f t="shared" si="2"/>
        <v>41</v>
      </c>
      <c r="B43">
        <v>47</v>
      </c>
      <c r="C43" t="str">
        <f t="shared" si="3"/>
        <v>INCOMPLETA</v>
      </c>
      <c r="D43" t="str">
        <f t="shared" si="4"/>
        <v>QUANTIDADE_NEGATIVA; PRECO_TEXTO; PRODUTO_VAZIA</v>
      </c>
      <c r="E43" t="s">
        <v>71</v>
      </c>
      <c r="F43" t="s">
        <v>8</v>
      </c>
      <c r="H43">
        <v>-3</v>
      </c>
      <c r="I43" t="s">
        <v>35</v>
      </c>
      <c r="J43" t="s">
        <v>10</v>
      </c>
    </row>
    <row r="44" spans="1:10" x14ac:dyDescent="0.25">
      <c r="A44">
        <f t="shared" si="2"/>
        <v>42</v>
      </c>
      <c r="B44">
        <v>48</v>
      </c>
      <c r="C44" t="str">
        <f t="shared" si="3"/>
        <v>COMPLETA</v>
      </c>
      <c r="D44" t="str">
        <f t="shared" si="4"/>
        <v/>
      </c>
      <c r="E44" t="s">
        <v>72</v>
      </c>
      <c r="F44" t="s">
        <v>33</v>
      </c>
      <c r="G44" t="s">
        <v>15</v>
      </c>
      <c r="H44">
        <v>10</v>
      </c>
      <c r="I44">
        <v>208.98</v>
      </c>
      <c r="J44" t="s">
        <v>17</v>
      </c>
    </row>
    <row r="45" spans="1:10" x14ac:dyDescent="0.25">
      <c r="A45">
        <f t="shared" si="2"/>
        <v>43</v>
      </c>
      <c r="B45">
        <v>48</v>
      </c>
      <c r="C45" t="str">
        <f t="shared" si="3"/>
        <v>INCOMPLETA</v>
      </c>
      <c r="D45" t="str">
        <f t="shared" si="4"/>
        <v>QUANTIDADE_VAZIA; PRECO_NEGATIVO</v>
      </c>
      <c r="E45" t="s">
        <v>90</v>
      </c>
      <c r="F45" t="s">
        <v>26</v>
      </c>
      <c r="G45" t="s">
        <v>47</v>
      </c>
      <c r="I45">
        <v>-10</v>
      </c>
      <c r="J45" t="s">
        <v>49</v>
      </c>
    </row>
    <row r="46" spans="1:10" x14ac:dyDescent="0.25">
      <c r="A46">
        <f t="shared" si="2"/>
        <v>44</v>
      </c>
      <c r="B46">
        <v>49</v>
      </c>
      <c r="C46" t="str">
        <f t="shared" si="3"/>
        <v>INCOMPLETA</v>
      </c>
      <c r="D46" t="str">
        <f t="shared" si="4"/>
        <v>PRECO_NEGATIVO; CIDADE_VAZIA</v>
      </c>
      <c r="E46" t="s">
        <v>68</v>
      </c>
      <c r="F46" t="s">
        <v>8</v>
      </c>
      <c r="G46" t="s">
        <v>53</v>
      </c>
      <c r="H46">
        <v>10</v>
      </c>
      <c r="I46">
        <v>-10</v>
      </c>
    </row>
    <row r="47" spans="1:10" x14ac:dyDescent="0.25">
      <c r="A47">
        <f t="shared" si="2"/>
        <v>45</v>
      </c>
      <c r="B47">
        <v>49</v>
      </c>
      <c r="C47" t="str">
        <f t="shared" si="3"/>
        <v>INCOMPLETA</v>
      </c>
      <c r="D47" t="str">
        <f t="shared" si="4"/>
        <v>QUANTIDADE_NEGATIVA; PRECO_VAZIA; CLIENTE_VAZIA</v>
      </c>
      <c r="E47" t="s">
        <v>73</v>
      </c>
      <c r="G47" t="s">
        <v>19</v>
      </c>
      <c r="H47">
        <v>-3</v>
      </c>
      <c r="J47" t="s">
        <v>10</v>
      </c>
    </row>
    <row r="48" spans="1:10" x14ac:dyDescent="0.25">
      <c r="A48">
        <f t="shared" si="2"/>
        <v>46</v>
      </c>
      <c r="B48">
        <v>50</v>
      </c>
      <c r="C48" t="str">
        <f t="shared" si="3"/>
        <v>INCOMPLETA</v>
      </c>
      <c r="D48" t="str">
        <f t="shared" si="4"/>
        <v>PRECO_VAZIA; CIDADE_VAZIA</v>
      </c>
      <c r="E48" t="s">
        <v>74</v>
      </c>
      <c r="F48" t="s">
        <v>26</v>
      </c>
      <c r="G48" t="s">
        <v>23</v>
      </c>
      <c r="H48">
        <v>10</v>
      </c>
    </row>
    <row r="49" spans="1:10" x14ac:dyDescent="0.25">
      <c r="A49">
        <f t="shared" si="2"/>
        <v>47</v>
      </c>
      <c r="B49">
        <v>51</v>
      </c>
      <c r="C49" t="str">
        <f t="shared" si="3"/>
        <v>INCOMPLETA</v>
      </c>
      <c r="D49" t="str">
        <f t="shared" si="4"/>
        <v>QUANTIDADE_VAZIA</v>
      </c>
      <c r="E49" t="s">
        <v>75</v>
      </c>
      <c r="F49" t="s">
        <v>26</v>
      </c>
      <c r="G49" t="s">
        <v>37</v>
      </c>
      <c r="I49">
        <v>492.13</v>
      </c>
      <c r="J49" t="s">
        <v>49</v>
      </c>
    </row>
    <row r="50" spans="1:10" x14ac:dyDescent="0.25">
      <c r="A50">
        <f t="shared" si="2"/>
        <v>48</v>
      </c>
      <c r="B50">
        <v>52</v>
      </c>
      <c r="C50" t="str">
        <f t="shared" si="3"/>
        <v>INCOMPLETA</v>
      </c>
      <c r="D50" t="str">
        <f t="shared" si="4"/>
        <v>QUANTIDADE_NEGATIVA; PRECO_VAZIA; CLIENTE_VAZIA; CIDADE_VAZIA</v>
      </c>
      <c r="E50" t="s">
        <v>76</v>
      </c>
      <c r="G50" t="s">
        <v>9</v>
      </c>
      <c r="H50">
        <v>-3</v>
      </c>
    </row>
    <row r="51" spans="1:10" x14ac:dyDescent="0.25">
      <c r="A51">
        <f t="shared" si="2"/>
        <v>49</v>
      </c>
      <c r="B51">
        <v>53</v>
      </c>
      <c r="C51" t="str">
        <f t="shared" si="3"/>
        <v>INCOMPLETA</v>
      </c>
      <c r="D51" t="str">
        <f t="shared" si="4"/>
        <v>QUANTIDADE_VAZIA; PRECO_NEGATIVO</v>
      </c>
      <c r="E51" t="s">
        <v>77</v>
      </c>
      <c r="F51" t="s">
        <v>12</v>
      </c>
      <c r="G51" t="s">
        <v>47</v>
      </c>
      <c r="I51">
        <v>-10</v>
      </c>
      <c r="J51" t="s">
        <v>21</v>
      </c>
    </row>
    <row r="52" spans="1:10" x14ac:dyDescent="0.25">
      <c r="A52">
        <f t="shared" si="2"/>
        <v>50</v>
      </c>
      <c r="B52">
        <v>54</v>
      </c>
      <c r="C52" t="str">
        <f t="shared" si="3"/>
        <v>COMPLETA</v>
      </c>
      <c r="D52" t="str">
        <f t="shared" si="4"/>
        <v>PRECO_NEGATIVO</v>
      </c>
      <c r="E52" t="s">
        <v>71</v>
      </c>
      <c r="F52" t="s">
        <v>33</v>
      </c>
      <c r="G52" t="s">
        <v>15</v>
      </c>
      <c r="H52">
        <v>10</v>
      </c>
      <c r="I52">
        <v>-10</v>
      </c>
      <c r="J52" t="s">
        <v>10</v>
      </c>
    </row>
    <row r="53" spans="1:10" x14ac:dyDescent="0.25">
      <c r="A53">
        <f t="shared" si="2"/>
        <v>51</v>
      </c>
      <c r="B53">
        <v>54</v>
      </c>
      <c r="C53" t="str">
        <f t="shared" si="3"/>
        <v>INCOMPLETA</v>
      </c>
      <c r="D53" t="str">
        <f t="shared" si="4"/>
        <v>PRECO_VAZIA; CLIENTE_VAZIA</v>
      </c>
      <c r="E53" t="s">
        <v>124</v>
      </c>
      <c r="G53" t="s">
        <v>37</v>
      </c>
      <c r="H53">
        <v>10</v>
      </c>
      <c r="J53" t="s">
        <v>10</v>
      </c>
    </row>
    <row r="54" spans="1:10" x14ac:dyDescent="0.25">
      <c r="A54">
        <f t="shared" si="2"/>
        <v>52</v>
      </c>
      <c r="B54">
        <v>55</v>
      </c>
      <c r="C54" t="str">
        <f t="shared" si="3"/>
        <v>INCOMPLETA</v>
      </c>
      <c r="D54" t="str">
        <f t="shared" si="4"/>
        <v>QUANTIDADE_VAZIA; PRECO_NEGATIVO; PRODUTO_VAZIA</v>
      </c>
      <c r="E54" t="s">
        <v>59</v>
      </c>
      <c r="F54" t="s">
        <v>33</v>
      </c>
      <c r="I54">
        <v>-10</v>
      </c>
      <c r="J54" t="s">
        <v>49</v>
      </c>
    </row>
    <row r="55" spans="1:10" x14ac:dyDescent="0.25">
      <c r="A55">
        <f t="shared" si="2"/>
        <v>53</v>
      </c>
      <c r="B55">
        <v>56</v>
      </c>
      <c r="C55" t="str">
        <f t="shared" si="3"/>
        <v>INCOMPLETA</v>
      </c>
      <c r="D55" t="str">
        <f t="shared" si="4"/>
        <v>QUANTIDADE_VAZIA; PRODUTO_VAZIA; CIDADE_VAZIA</v>
      </c>
      <c r="E55" t="s">
        <v>29</v>
      </c>
      <c r="F55" t="s">
        <v>8</v>
      </c>
      <c r="I55">
        <v>144.55000000000001</v>
      </c>
    </row>
    <row r="56" spans="1:10" x14ac:dyDescent="0.25">
      <c r="A56">
        <f t="shared" si="2"/>
        <v>54</v>
      </c>
      <c r="B56">
        <v>56</v>
      </c>
      <c r="C56" t="str">
        <f t="shared" si="3"/>
        <v>COMPLETA</v>
      </c>
      <c r="D56" t="str">
        <f t="shared" si="4"/>
        <v>PRECO_TEXTO</v>
      </c>
      <c r="E56" t="s">
        <v>128</v>
      </c>
      <c r="F56" t="s">
        <v>8</v>
      </c>
      <c r="G56" t="s">
        <v>37</v>
      </c>
      <c r="H56">
        <v>14</v>
      </c>
      <c r="I56" t="s">
        <v>35</v>
      </c>
      <c r="J56" t="s">
        <v>13</v>
      </c>
    </row>
    <row r="57" spans="1:10" x14ac:dyDescent="0.25">
      <c r="A57">
        <f t="shared" si="2"/>
        <v>55</v>
      </c>
      <c r="B57">
        <v>57</v>
      </c>
      <c r="C57" t="str">
        <f t="shared" si="3"/>
        <v>INCOMPLETA</v>
      </c>
      <c r="D57" t="str">
        <f t="shared" si="4"/>
        <v>PRECO_VAZIA</v>
      </c>
      <c r="E57" t="s">
        <v>78</v>
      </c>
      <c r="F57" t="s">
        <v>8</v>
      </c>
      <c r="G57" t="s">
        <v>19</v>
      </c>
      <c r="H57">
        <v>18</v>
      </c>
      <c r="J57" t="s">
        <v>49</v>
      </c>
    </row>
    <row r="58" spans="1:10" x14ac:dyDescent="0.25">
      <c r="A58">
        <f t="shared" si="2"/>
        <v>56</v>
      </c>
      <c r="B58">
        <v>58</v>
      </c>
      <c r="C58" t="str">
        <f t="shared" si="3"/>
        <v>COMPLETA</v>
      </c>
      <c r="D58" t="str">
        <f t="shared" si="4"/>
        <v>QUANTIDADE_NEGATIVA; PRECO_NEGATIVO</v>
      </c>
      <c r="E58" t="s">
        <v>79</v>
      </c>
      <c r="F58" t="s">
        <v>26</v>
      </c>
      <c r="G58" t="s">
        <v>23</v>
      </c>
      <c r="H58">
        <v>-3</v>
      </c>
      <c r="I58">
        <v>-10</v>
      </c>
      <c r="J58" t="s">
        <v>49</v>
      </c>
    </row>
    <row r="59" spans="1:10" x14ac:dyDescent="0.25">
      <c r="A59">
        <f t="shared" si="2"/>
        <v>57</v>
      </c>
      <c r="B59">
        <v>60</v>
      </c>
      <c r="C59" t="str">
        <f t="shared" si="3"/>
        <v>INCOMPLETA</v>
      </c>
      <c r="D59" t="str">
        <f t="shared" si="4"/>
        <v>PRECO_NEGATIVO; CIDADE_VAZIA</v>
      </c>
      <c r="E59" t="s">
        <v>56</v>
      </c>
      <c r="F59" t="s">
        <v>12</v>
      </c>
      <c r="G59" t="s">
        <v>9</v>
      </c>
      <c r="H59">
        <v>19</v>
      </c>
      <c r="I59">
        <v>-10</v>
      </c>
    </row>
    <row r="60" spans="1:10" x14ac:dyDescent="0.25">
      <c r="A60">
        <f t="shared" si="2"/>
        <v>58</v>
      </c>
      <c r="B60">
        <v>60</v>
      </c>
      <c r="C60" t="str">
        <f t="shared" si="3"/>
        <v>INCOMPLETA</v>
      </c>
      <c r="D60" t="str">
        <f t="shared" si="4"/>
        <v>QUANTIDADE_VAZIA; PRECO_TEXTO; CLIENTE_VAZIA; PRODUTO_VAZIA</v>
      </c>
      <c r="E60" t="s">
        <v>72</v>
      </c>
      <c r="I60" t="s">
        <v>35</v>
      </c>
      <c r="J60" t="s">
        <v>49</v>
      </c>
    </row>
    <row r="61" spans="1:10" x14ac:dyDescent="0.25">
      <c r="A61">
        <f t="shared" si="2"/>
        <v>59</v>
      </c>
      <c r="B61">
        <v>61</v>
      </c>
      <c r="C61" t="str">
        <f t="shared" si="3"/>
        <v>COMPLETA</v>
      </c>
      <c r="D61" t="str">
        <f t="shared" si="4"/>
        <v>QUANTIDADE_NEGATIVA</v>
      </c>
      <c r="E61" t="s">
        <v>80</v>
      </c>
      <c r="F61" t="s">
        <v>8</v>
      </c>
      <c r="G61" t="s">
        <v>47</v>
      </c>
      <c r="H61">
        <v>-3</v>
      </c>
      <c r="I61">
        <v>460.58</v>
      </c>
      <c r="J61" t="s">
        <v>49</v>
      </c>
    </row>
    <row r="62" spans="1:10" x14ac:dyDescent="0.25">
      <c r="A62">
        <f t="shared" si="2"/>
        <v>60</v>
      </c>
      <c r="B62">
        <v>62</v>
      </c>
      <c r="C62" t="str">
        <f t="shared" si="3"/>
        <v>INCOMPLETA</v>
      </c>
      <c r="D62" t="str">
        <f t="shared" si="4"/>
        <v>QUANTIDADE_VAZIA; PRECO_VAZIA</v>
      </c>
      <c r="E62" t="s">
        <v>81</v>
      </c>
      <c r="F62" t="s">
        <v>12</v>
      </c>
      <c r="G62" t="s">
        <v>23</v>
      </c>
      <c r="J62" t="s">
        <v>21</v>
      </c>
    </row>
    <row r="63" spans="1:10" x14ac:dyDescent="0.25">
      <c r="A63">
        <f t="shared" si="2"/>
        <v>61</v>
      </c>
      <c r="B63">
        <v>63</v>
      </c>
      <c r="C63" t="str">
        <f t="shared" si="3"/>
        <v>COMPLETA</v>
      </c>
      <c r="D63" t="str">
        <f t="shared" si="4"/>
        <v>PRECO_NEGATIVO</v>
      </c>
      <c r="E63" t="s">
        <v>82</v>
      </c>
      <c r="F63" t="s">
        <v>26</v>
      </c>
      <c r="G63" t="s">
        <v>31</v>
      </c>
      <c r="H63">
        <v>10</v>
      </c>
      <c r="I63">
        <v>-10</v>
      </c>
      <c r="J63" t="s">
        <v>17</v>
      </c>
    </row>
    <row r="64" spans="1:10" x14ac:dyDescent="0.25">
      <c r="A64">
        <f t="shared" si="2"/>
        <v>62</v>
      </c>
      <c r="B64">
        <v>64</v>
      </c>
      <c r="C64" t="str">
        <f t="shared" si="3"/>
        <v>COMPLETA</v>
      </c>
      <c r="D64" t="str">
        <f t="shared" si="4"/>
        <v/>
      </c>
      <c r="E64" t="s">
        <v>72</v>
      </c>
      <c r="F64" t="s">
        <v>8</v>
      </c>
      <c r="G64" t="s">
        <v>23</v>
      </c>
      <c r="H64">
        <v>16</v>
      </c>
      <c r="I64">
        <v>377.02</v>
      </c>
      <c r="J64" t="s">
        <v>17</v>
      </c>
    </row>
    <row r="65" spans="1:10" x14ac:dyDescent="0.25">
      <c r="A65">
        <f t="shared" si="2"/>
        <v>63</v>
      </c>
      <c r="B65">
        <v>65</v>
      </c>
      <c r="C65" t="str">
        <f t="shared" si="3"/>
        <v>INCOMPLETA</v>
      </c>
      <c r="D65" t="str">
        <f t="shared" si="4"/>
        <v>QUANTIDADE_VAZIA; PRECO_VAZIA</v>
      </c>
      <c r="E65" t="s">
        <v>40</v>
      </c>
      <c r="F65" t="s">
        <v>12</v>
      </c>
      <c r="G65" t="s">
        <v>37</v>
      </c>
      <c r="J65" t="s">
        <v>13</v>
      </c>
    </row>
    <row r="66" spans="1:10" x14ac:dyDescent="0.25">
      <c r="A66">
        <f t="shared" si="2"/>
        <v>64</v>
      </c>
      <c r="B66">
        <v>66</v>
      </c>
      <c r="C66" t="str">
        <f t="shared" ref="C66:C97" si="5">IF(AND(B66&lt;&gt;"",E66&lt;&gt;"",F66&lt;&gt;"",G66&lt;&gt;"",H66&lt;&gt;"",I66&lt;&gt;"",J66&lt;&gt;""),"COMPLETA","INCOMPLETA")</f>
        <v>INCOMPLETA</v>
      </c>
      <c r="D66" t="str">
        <f t="shared" ref="D66:D97" si="6">_xlfn.TEXTJOIN("; ", TRUE,
  IF(H66="", "QUANTIDADE_VAZIA", ""),
  IF(AND(ISNUMBER(H66), H66&lt;0), "QUANTIDADE_NEGATIVA", ""),
  IF(I66="", "PRECO_VAZIA", ""),
  IF(AND(ISNUMBER(I66), I66&lt;0), "PRECO_NEGATIVO", ""),
  IF(AND(I66&lt;&gt;"", NOT(ISNUMBER(I66))), "PRECO_TEXTO", ""),
  IF(F66="", "CLIENTE_VAZIA", ""),
  IF(G66="", "PRODUTO_VAZIA", ""),
  IF(J66="", "CIDADE_VAZIA", ""),
  IF(E66="", "DATA_VAZIA", "")
)</f>
        <v>PRECO_VAZIA</v>
      </c>
      <c r="E66" t="s">
        <v>83</v>
      </c>
      <c r="F66" t="s">
        <v>12</v>
      </c>
      <c r="G66" t="s">
        <v>9</v>
      </c>
      <c r="H66">
        <v>10</v>
      </c>
      <c r="J66" t="s">
        <v>10</v>
      </c>
    </row>
    <row r="67" spans="1:10" x14ac:dyDescent="0.25">
      <c r="A67">
        <f t="shared" ref="A67:A130" si="7">ROW() -2</f>
        <v>65</v>
      </c>
      <c r="B67">
        <v>67</v>
      </c>
      <c r="C67" t="str">
        <f t="shared" si="5"/>
        <v>COMPLETA</v>
      </c>
      <c r="D67" t="str">
        <f t="shared" si="6"/>
        <v>PRECO_TEXTO</v>
      </c>
      <c r="E67" t="s">
        <v>84</v>
      </c>
      <c r="F67" t="s">
        <v>12</v>
      </c>
      <c r="G67" t="s">
        <v>15</v>
      </c>
      <c r="H67">
        <v>10</v>
      </c>
      <c r="I67" t="s">
        <v>35</v>
      </c>
      <c r="J67" t="s">
        <v>10</v>
      </c>
    </row>
    <row r="68" spans="1:10" x14ac:dyDescent="0.25">
      <c r="A68">
        <f t="shared" si="7"/>
        <v>66</v>
      </c>
      <c r="B68">
        <v>68</v>
      </c>
      <c r="C68" t="str">
        <f t="shared" si="5"/>
        <v>INCOMPLETA</v>
      </c>
      <c r="D68" t="str">
        <f t="shared" si="6"/>
        <v>QUANTIDADE_VAZIA; PRECO_TEXTO; CIDADE_VAZIA</v>
      </c>
      <c r="E68" t="s">
        <v>20</v>
      </c>
      <c r="F68" t="s">
        <v>33</v>
      </c>
      <c r="G68" t="s">
        <v>9</v>
      </c>
      <c r="I68" t="s">
        <v>35</v>
      </c>
    </row>
    <row r="69" spans="1:10" x14ac:dyDescent="0.25">
      <c r="A69">
        <f t="shared" si="7"/>
        <v>67</v>
      </c>
      <c r="B69">
        <v>69</v>
      </c>
      <c r="C69" t="str">
        <f t="shared" si="5"/>
        <v>INCOMPLETA</v>
      </c>
      <c r="D69" t="str">
        <f t="shared" si="6"/>
        <v>QUANTIDADE_NEGATIVA; CLIENTE_VAZIA</v>
      </c>
      <c r="E69" t="s">
        <v>85</v>
      </c>
      <c r="G69" t="s">
        <v>37</v>
      </c>
      <c r="H69">
        <v>-3</v>
      </c>
      <c r="I69">
        <v>334.15</v>
      </c>
      <c r="J69" t="s">
        <v>10</v>
      </c>
    </row>
    <row r="70" spans="1:10" x14ac:dyDescent="0.25">
      <c r="A70">
        <f t="shared" si="7"/>
        <v>68</v>
      </c>
      <c r="B70">
        <v>70</v>
      </c>
      <c r="C70" t="str">
        <f t="shared" si="5"/>
        <v>INCOMPLETA</v>
      </c>
      <c r="D70" t="str">
        <f t="shared" si="6"/>
        <v>QUANTIDADE_NEGATIVA; PRECO_NEGATIVO; CIDADE_VAZIA</v>
      </c>
      <c r="E70" t="s">
        <v>86</v>
      </c>
      <c r="F70" t="s">
        <v>33</v>
      </c>
      <c r="G70" t="s">
        <v>31</v>
      </c>
      <c r="H70">
        <v>-3</v>
      </c>
      <c r="I70">
        <v>-10</v>
      </c>
    </row>
    <row r="71" spans="1:10" x14ac:dyDescent="0.25">
      <c r="A71">
        <f t="shared" si="7"/>
        <v>69</v>
      </c>
      <c r="B71">
        <v>71</v>
      </c>
      <c r="C71" t="str">
        <f t="shared" si="5"/>
        <v>INCOMPLETA</v>
      </c>
      <c r="D71" t="str">
        <f t="shared" si="6"/>
        <v>QUANTIDADE_NEGATIVA; PRECO_TEXTO; CLIENTE_VAZIA</v>
      </c>
      <c r="E71" t="s">
        <v>87</v>
      </c>
      <c r="G71" t="s">
        <v>53</v>
      </c>
      <c r="H71">
        <v>-3</v>
      </c>
      <c r="I71" t="s">
        <v>35</v>
      </c>
      <c r="J71" t="s">
        <v>17</v>
      </c>
    </row>
    <row r="72" spans="1:10" x14ac:dyDescent="0.25">
      <c r="A72">
        <f t="shared" si="7"/>
        <v>70</v>
      </c>
      <c r="B72">
        <v>72</v>
      </c>
      <c r="C72" t="str">
        <f t="shared" si="5"/>
        <v>COMPLETA</v>
      </c>
      <c r="D72" t="str">
        <f t="shared" si="6"/>
        <v>QUANTIDADE_NEGATIVA; PRECO_NEGATIVO</v>
      </c>
      <c r="E72" t="s">
        <v>88</v>
      </c>
      <c r="F72" t="s">
        <v>8</v>
      </c>
      <c r="G72" t="s">
        <v>31</v>
      </c>
      <c r="H72">
        <v>-3</v>
      </c>
      <c r="I72">
        <v>-10</v>
      </c>
      <c r="J72" t="s">
        <v>17</v>
      </c>
    </row>
    <row r="73" spans="1:10" x14ac:dyDescent="0.25">
      <c r="A73">
        <f t="shared" si="7"/>
        <v>71</v>
      </c>
      <c r="B73">
        <v>75</v>
      </c>
      <c r="C73" t="str">
        <f t="shared" si="5"/>
        <v>INCOMPLETA</v>
      </c>
      <c r="D73" t="str">
        <f t="shared" si="6"/>
        <v>QUANTIDADE_VAZIA; PRECO_TEXTO</v>
      </c>
      <c r="E73" t="s">
        <v>91</v>
      </c>
      <c r="F73" t="s">
        <v>8</v>
      </c>
      <c r="G73" t="s">
        <v>9</v>
      </c>
      <c r="I73" t="s">
        <v>35</v>
      </c>
      <c r="J73" t="s">
        <v>49</v>
      </c>
    </row>
    <row r="74" spans="1:10" x14ac:dyDescent="0.25">
      <c r="A74">
        <f t="shared" si="7"/>
        <v>72</v>
      </c>
      <c r="B74">
        <v>76</v>
      </c>
      <c r="C74" t="str">
        <f t="shared" si="5"/>
        <v>INCOMPLETA</v>
      </c>
      <c r="D74" t="str">
        <f t="shared" si="6"/>
        <v>PRECO_TEXTO; PRODUTO_VAZIA</v>
      </c>
      <c r="E74" t="s">
        <v>92</v>
      </c>
      <c r="F74" t="s">
        <v>33</v>
      </c>
      <c r="H74">
        <v>10</v>
      </c>
      <c r="I74" t="s">
        <v>35</v>
      </c>
      <c r="J74" t="s">
        <v>17</v>
      </c>
    </row>
    <row r="75" spans="1:10" x14ac:dyDescent="0.25">
      <c r="A75">
        <f t="shared" si="7"/>
        <v>73</v>
      </c>
      <c r="B75">
        <v>77</v>
      </c>
      <c r="C75" t="str">
        <f t="shared" si="5"/>
        <v>INCOMPLETA</v>
      </c>
      <c r="D75" t="str">
        <f t="shared" si="6"/>
        <v>QUANTIDADE_VAZIA; PRECO_NEGATIVO</v>
      </c>
      <c r="E75" t="s">
        <v>85</v>
      </c>
      <c r="F75" t="s">
        <v>26</v>
      </c>
      <c r="G75" t="s">
        <v>19</v>
      </c>
      <c r="I75">
        <v>-10</v>
      </c>
      <c r="J75" t="s">
        <v>17</v>
      </c>
    </row>
    <row r="76" spans="1:10" x14ac:dyDescent="0.25">
      <c r="A76">
        <f t="shared" si="7"/>
        <v>74</v>
      </c>
      <c r="B76">
        <v>78</v>
      </c>
      <c r="C76" t="str">
        <f t="shared" si="5"/>
        <v>INCOMPLETA</v>
      </c>
      <c r="D76" t="str">
        <f t="shared" si="6"/>
        <v>QUANTIDADE_VAZIA; PRECO_TEXTO; CLIENTE_VAZIA</v>
      </c>
      <c r="E76" t="s">
        <v>93</v>
      </c>
      <c r="G76" t="s">
        <v>53</v>
      </c>
      <c r="I76" t="s">
        <v>35</v>
      </c>
      <c r="J76" t="s">
        <v>13</v>
      </c>
    </row>
    <row r="77" spans="1:10" x14ac:dyDescent="0.25">
      <c r="A77">
        <f t="shared" si="7"/>
        <v>75</v>
      </c>
      <c r="B77">
        <v>79</v>
      </c>
      <c r="C77" t="str">
        <f t="shared" si="5"/>
        <v>INCOMPLETA</v>
      </c>
      <c r="D77" t="str">
        <f t="shared" si="6"/>
        <v>PRECO_TEXTO; CLIENTE_VAZIA; CIDADE_VAZIA</v>
      </c>
      <c r="E77" t="s">
        <v>94</v>
      </c>
      <c r="G77" t="s">
        <v>15</v>
      </c>
      <c r="H77">
        <v>9</v>
      </c>
      <c r="I77" t="s">
        <v>35</v>
      </c>
    </row>
    <row r="78" spans="1:10" x14ac:dyDescent="0.25">
      <c r="A78">
        <f t="shared" si="7"/>
        <v>76</v>
      </c>
      <c r="B78">
        <v>80</v>
      </c>
      <c r="C78" t="str">
        <f t="shared" si="5"/>
        <v>COMPLETA</v>
      </c>
      <c r="D78" t="str">
        <f t="shared" si="6"/>
        <v>PRECO_NEGATIVO</v>
      </c>
      <c r="E78" t="s">
        <v>38</v>
      </c>
      <c r="F78" t="s">
        <v>33</v>
      </c>
      <c r="G78" t="s">
        <v>23</v>
      </c>
      <c r="H78">
        <v>10</v>
      </c>
      <c r="I78">
        <v>-10</v>
      </c>
      <c r="J78" t="s">
        <v>17</v>
      </c>
    </row>
    <row r="79" spans="1:10" x14ac:dyDescent="0.25">
      <c r="A79">
        <f t="shared" si="7"/>
        <v>77</v>
      </c>
      <c r="B79">
        <v>81</v>
      </c>
      <c r="C79" t="str">
        <f t="shared" si="5"/>
        <v>COMPLETA</v>
      </c>
      <c r="D79" t="str">
        <f t="shared" si="6"/>
        <v/>
      </c>
      <c r="E79" t="s">
        <v>95</v>
      </c>
      <c r="F79" t="s">
        <v>8</v>
      </c>
      <c r="G79" t="s">
        <v>31</v>
      </c>
      <c r="H79">
        <v>4</v>
      </c>
      <c r="I79">
        <v>206.35</v>
      </c>
      <c r="J79" t="s">
        <v>10</v>
      </c>
    </row>
    <row r="80" spans="1:10" x14ac:dyDescent="0.25">
      <c r="A80">
        <f t="shared" si="7"/>
        <v>78</v>
      </c>
      <c r="B80">
        <v>82</v>
      </c>
      <c r="C80" t="str">
        <f t="shared" si="5"/>
        <v>INCOMPLETA</v>
      </c>
      <c r="D80" t="str">
        <f t="shared" si="6"/>
        <v>PRECO_VAZIA</v>
      </c>
      <c r="E80" t="s">
        <v>95</v>
      </c>
      <c r="F80" t="s">
        <v>26</v>
      </c>
      <c r="G80" t="s">
        <v>15</v>
      </c>
      <c r="H80">
        <v>10</v>
      </c>
      <c r="J80" t="s">
        <v>21</v>
      </c>
    </row>
    <row r="81" spans="1:10" x14ac:dyDescent="0.25">
      <c r="A81">
        <f t="shared" si="7"/>
        <v>79</v>
      </c>
      <c r="B81">
        <v>83</v>
      </c>
      <c r="C81" t="str">
        <f t="shared" si="5"/>
        <v>COMPLETA</v>
      </c>
      <c r="D81" t="str">
        <f t="shared" si="6"/>
        <v>PRECO_TEXTO</v>
      </c>
      <c r="E81" t="s">
        <v>89</v>
      </c>
      <c r="F81" t="s">
        <v>33</v>
      </c>
      <c r="G81" t="s">
        <v>9</v>
      </c>
      <c r="H81">
        <v>10</v>
      </c>
      <c r="I81" t="s">
        <v>35</v>
      </c>
      <c r="J81" t="s">
        <v>10</v>
      </c>
    </row>
    <row r="82" spans="1:10" x14ac:dyDescent="0.25">
      <c r="A82">
        <f t="shared" si="7"/>
        <v>80</v>
      </c>
      <c r="B82">
        <v>83</v>
      </c>
      <c r="C82" t="str">
        <f t="shared" si="5"/>
        <v>INCOMPLETA</v>
      </c>
      <c r="D82" t="str">
        <f t="shared" si="6"/>
        <v>QUANTIDADE_NEGATIVA; PRECO_NEGATIVO; CLIENTE_VAZIA</v>
      </c>
      <c r="E82" t="s">
        <v>96</v>
      </c>
      <c r="G82" t="s">
        <v>9</v>
      </c>
      <c r="H82">
        <v>-3</v>
      </c>
      <c r="I82">
        <v>-10</v>
      </c>
      <c r="J82" t="s">
        <v>17</v>
      </c>
    </row>
    <row r="83" spans="1:10" x14ac:dyDescent="0.25">
      <c r="A83">
        <f t="shared" si="7"/>
        <v>81</v>
      </c>
      <c r="B83">
        <v>84</v>
      </c>
      <c r="C83" t="str">
        <f t="shared" si="5"/>
        <v>INCOMPLETA</v>
      </c>
      <c r="D83" t="str">
        <f t="shared" si="6"/>
        <v>PRECO_VAZIA; CIDADE_VAZIA</v>
      </c>
      <c r="E83" t="s">
        <v>97</v>
      </c>
      <c r="F83" t="s">
        <v>8</v>
      </c>
      <c r="G83" t="s">
        <v>37</v>
      </c>
      <c r="H83">
        <v>20</v>
      </c>
    </row>
    <row r="84" spans="1:10" x14ac:dyDescent="0.25">
      <c r="A84">
        <f t="shared" si="7"/>
        <v>82</v>
      </c>
      <c r="B84">
        <v>85</v>
      </c>
      <c r="C84" t="str">
        <f t="shared" si="5"/>
        <v>COMPLETA</v>
      </c>
      <c r="D84" t="str">
        <f t="shared" si="6"/>
        <v>QUANTIDADE_NEGATIVA; PRECO_NEGATIVO</v>
      </c>
      <c r="E84" t="s">
        <v>22</v>
      </c>
      <c r="F84" t="s">
        <v>26</v>
      </c>
      <c r="G84" t="s">
        <v>53</v>
      </c>
      <c r="H84">
        <v>-3</v>
      </c>
      <c r="I84">
        <v>-10</v>
      </c>
      <c r="J84" t="s">
        <v>10</v>
      </c>
    </row>
    <row r="85" spans="1:10" x14ac:dyDescent="0.25">
      <c r="A85">
        <f t="shared" si="7"/>
        <v>83</v>
      </c>
      <c r="B85">
        <v>85</v>
      </c>
      <c r="C85" t="str">
        <f t="shared" si="5"/>
        <v>INCOMPLETA</v>
      </c>
      <c r="D85" t="str">
        <f t="shared" si="6"/>
        <v>QUANTIDADE_VAZIA; PRECO_VAZIA</v>
      </c>
      <c r="E85" t="s">
        <v>81</v>
      </c>
      <c r="F85" t="s">
        <v>12</v>
      </c>
      <c r="G85" t="s">
        <v>15</v>
      </c>
      <c r="J85" t="s">
        <v>21</v>
      </c>
    </row>
    <row r="86" spans="1:10" x14ac:dyDescent="0.25">
      <c r="A86">
        <f t="shared" si="7"/>
        <v>84</v>
      </c>
      <c r="B86">
        <v>86</v>
      </c>
      <c r="C86" t="str">
        <f t="shared" si="5"/>
        <v>INCOMPLETA</v>
      </c>
      <c r="D86" t="str">
        <f t="shared" si="6"/>
        <v>PRECO_TEXTO; CLIENTE_VAZIA; CIDADE_VAZIA</v>
      </c>
      <c r="E86" t="s">
        <v>63</v>
      </c>
      <c r="G86" t="s">
        <v>31</v>
      </c>
      <c r="H86">
        <v>10</v>
      </c>
      <c r="I86" t="s">
        <v>35</v>
      </c>
    </row>
    <row r="87" spans="1:10" x14ac:dyDescent="0.25">
      <c r="A87">
        <f t="shared" si="7"/>
        <v>85</v>
      </c>
      <c r="B87">
        <v>87</v>
      </c>
      <c r="C87" t="str">
        <f t="shared" si="5"/>
        <v>INCOMPLETA</v>
      </c>
      <c r="D87" t="str">
        <f t="shared" si="6"/>
        <v>QUANTIDADE_VAZIA; PRECO_VAZIA; CIDADE_VAZIA</v>
      </c>
      <c r="E87" t="s">
        <v>98</v>
      </c>
      <c r="F87" t="s">
        <v>26</v>
      </c>
      <c r="G87" t="s">
        <v>53</v>
      </c>
    </row>
    <row r="88" spans="1:10" x14ac:dyDescent="0.25">
      <c r="A88">
        <f t="shared" si="7"/>
        <v>86</v>
      </c>
      <c r="B88">
        <v>88</v>
      </c>
      <c r="C88" t="str">
        <f t="shared" si="5"/>
        <v>INCOMPLETA</v>
      </c>
      <c r="D88" t="str">
        <f t="shared" si="6"/>
        <v>QUANTIDADE_VAZIA; PRECO_TEXTO</v>
      </c>
      <c r="E88" t="s">
        <v>99</v>
      </c>
      <c r="F88" t="s">
        <v>26</v>
      </c>
      <c r="G88" t="s">
        <v>23</v>
      </c>
      <c r="I88" t="s">
        <v>35</v>
      </c>
      <c r="J88" t="s">
        <v>49</v>
      </c>
    </row>
    <row r="89" spans="1:10" x14ac:dyDescent="0.25">
      <c r="A89">
        <f t="shared" si="7"/>
        <v>87</v>
      </c>
      <c r="B89">
        <v>89</v>
      </c>
      <c r="C89" t="str">
        <f t="shared" si="5"/>
        <v>COMPLETA</v>
      </c>
      <c r="D89" t="str">
        <f t="shared" si="6"/>
        <v>QUANTIDADE_NEGATIVA</v>
      </c>
      <c r="E89" t="s">
        <v>63</v>
      </c>
      <c r="F89" t="s">
        <v>8</v>
      </c>
      <c r="G89" t="s">
        <v>47</v>
      </c>
      <c r="H89">
        <v>-3</v>
      </c>
      <c r="I89">
        <v>224.5</v>
      </c>
      <c r="J89" t="s">
        <v>49</v>
      </c>
    </row>
    <row r="90" spans="1:10" x14ac:dyDescent="0.25">
      <c r="A90">
        <f t="shared" si="7"/>
        <v>88</v>
      </c>
      <c r="B90">
        <v>90</v>
      </c>
      <c r="C90" t="str">
        <f t="shared" si="5"/>
        <v>INCOMPLETA</v>
      </c>
      <c r="D90" t="str">
        <f t="shared" si="6"/>
        <v>QUANTIDADE_VAZIA; CIDADE_VAZIA</v>
      </c>
      <c r="E90" t="s">
        <v>100</v>
      </c>
      <c r="F90" t="s">
        <v>8</v>
      </c>
      <c r="G90" t="s">
        <v>37</v>
      </c>
      <c r="I90">
        <v>481.34</v>
      </c>
    </row>
    <row r="91" spans="1:10" x14ac:dyDescent="0.25">
      <c r="A91">
        <f t="shared" si="7"/>
        <v>89</v>
      </c>
      <c r="B91">
        <v>91</v>
      </c>
      <c r="C91" t="str">
        <f t="shared" si="5"/>
        <v>INCOMPLETA</v>
      </c>
      <c r="D91" t="str">
        <f t="shared" si="6"/>
        <v>QUANTIDADE_NEGATIVA; PRECO_VAZIA</v>
      </c>
      <c r="E91" t="s">
        <v>101</v>
      </c>
      <c r="F91" t="s">
        <v>12</v>
      </c>
      <c r="G91" t="s">
        <v>15</v>
      </c>
      <c r="H91">
        <v>-3</v>
      </c>
      <c r="J91" t="s">
        <v>10</v>
      </c>
    </row>
    <row r="92" spans="1:10" x14ac:dyDescent="0.25">
      <c r="A92">
        <f t="shared" si="7"/>
        <v>90</v>
      </c>
      <c r="B92">
        <v>92</v>
      </c>
      <c r="C92" t="str">
        <f t="shared" si="5"/>
        <v>COMPLETA</v>
      </c>
      <c r="D92" t="str">
        <f t="shared" si="6"/>
        <v>QUANTIDADE_NEGATIVA</v>
      </c>
      <c r="E92" t="s">
        <v>102</v>
      </c>
      <c r="F92" t="s">
        <v>12</v>
      </c>
      <c r="G92" t="s">
        <v>31</v>
      </c>
      <c r="H92">
        <v>-3</v>
      </c>
      <c r="I92">
        <v>173.32</v>
      </c>
      <c r="J92" t="s">
        <v>13</v>
      </c>
    </row>
    <row r="93" spans="1:10" x14ac:dyDescent="0.25">
      <c r="A93">
        <f t="shared" si="7"/>
        <v>91</v>
      </c>
      <c r="B93">
        <v>93</v>
      </c>
      <c r="C93" t="str">
        <f t="shared" si="5"/>
        <v>COMPLETA</v>
      </c>
      <c r="D93" t="str">
        <f t="shared" si="6"/>
        <v>PRECO_TEXTO</v>
      </c>
      <c r="E93" t="s">
        <v>103</v>
      </c>
      <c r="F93" t="s">
        <v>33</v>
      </c>
      <c r="G93" t="s">
        <v>53</v>
      </c>
      <c r="H93">
        <v>13</v>
      </c>
      <c r="I93" t="s">
        <v>35</v>
      </c>
      <c r="J93" t="s">
        <v>17</v>
      </c>
    </row>
    <row r="94" spans="1:10" x14ac:dyDescent="0.25">
      <c r="A94">
        <f t="shared" si="7"/>
        <v>92</v>
      </c>
      <c r="B94">
        <v>94</v>
      </c>
      <c r="C94" t="str">
        <f t="shared" si="5"/>
        <v>INCOMPLETA</v>
      </c>
      <c r="D94" t="str">
        <f t="shared" si="6"/>
        <v>QUANTIDADE_NEGATIVA; PRECO_VAZIA; PRODUTO_VAZIA</v>
      </c>
      <c r="E94" t="s">
        <v>22</v>
      </c>
      <c r="F94" t="s">
        <v>33</v>
      </c>
      <c r="H94">
        <v>-3</v>
      </c>
      <c r="J94" t="s">
        <v>10</v>
      </c>
    </row>
    <row r="95" spans="1:10" x14ac:dyDescent="0.25">
      <c r="A95">
        <f t="shared" si="7"/>
        <v>93</v>
      </c>
      <c r="B95">
        <v>95</v>
      </c>
      <c r="C95" t="str">
        <f t="shared" si="5"/>
        <v>INCOMPLETA</v>
      </c>
      <c r="D95" t="str">
        <f t="shared" si="6"/>
        <v>QUANTIDADE_VAZIA; PRECO_VAZIA</v>
      </c>
      <c r="E95" t="s">
        <v>104</v>
      </c>
      <c r="F95" t="s">
        <v>33</v>
      </c>
      <c r="G95" t="s">
        <v>31</v>
      </c>
      <c r="J95" t="s">
        <v>17</v>
      </c>
    </row>
    <row r="96" spans="1:10" x14ac:dyDescent="0.25">
      <c r="A96">
        <f t="shared" si="7"/>
        <v>94</v>
      </c>
      <c r="B96">
        <v>96</v>
      </c>
      <c r="C96" t="str">
        <f t="shared" si="5"/>
        <v>INCOMPLETA</v>
      </c>
      <c r="D96" t="str">
        <f t="shared" si="6"/>
        <v>QUANTIDADE_VAZIA; PRECO_TEXTO</v>
      </c>
      <c r="E96" t="s">
        <v>105</v>
      </c>
      <c r="F96" t="s">
        <v>33</v>
      </c>
      <c r="G96" t="s">
        <v>23</v>
      </c>
      <c r="I96" t="s">
        <v>35</v>
      </c>
      <c r="J96" t="s">
        <v>10</v>
      </c>
    </row>
    <row r="97" spans="1:10" x14ac:dyDescent="0.25">
      <c r="A97">
        <f t="shared" si="7"/>
        <v>95</v>
      </c>
      <c r="B97">
        <v>98</v>
      </c>
      <c r="C97" t="str">
        <f t="shared" si="5"/>
        <v>INCOMPLETA</v>
      </c>
      <c r="D97" t="str">
        <f t="shared" si="6"/>
        <v>QUANTIDADE_NEGATIVA; PRECO_VAZIA; CLIENTE_VAZIA</v>
      </c>
      <c r="E97" t="s">
        <v>106</v>
      </c>
      <c r="G97" t="s">
        <v>53</v>
      </c>
      <c r="H97">
        <v>-3</v>
      </c>
      <c r="J97" t="s">
        <v>49</v>
      </c>
    </row>
    <row r="98" spans="1:10" x14ac:dyDescent="0.25">
      <c r="A98">
        <f t="shared" si="7"/>
        <v>96</v>
      </c>
      <c r="B98">
        <v>99</v>
      </c>
      <c r="C98" t="str">
        <f t="shared" ref="C98:C129" si="8">IF(AND(B98&lt;&gt;"",E98&lt;&gt;"",F98&lt;&gt;"",G98&lt;&gt;"",H98&lt;&gt;"",I98&lt;&gt;"",J98&lt;&gt;""),"COMPLETA","INCOMPLETA")</f>
        <v>INCOMPLETA</v>
      </c>
      <c r="D98" t="str">
        <f t="shared" ref="D98:D129" si="9">_xlfn.TEXTJOIN("; ", TRUE,
  IF(H98="", "QUANTIDADE_VAZIA", ""),
  IF(AND(ISNUMBER(H98), H98&lt;0), "QUANTIDADE_NEGATIVA", ""),
  IF(I98="", "PRECO_VAZIA", ""),
  IF(AND(ISNUMBER(I98), I98&lt;0), "PRECO_NEGATIVO", ""),
  IF(AND(I98&lt;&gt;"", NOT(ISNUMBER(I98))), "PRECO_TEXTO", ""),
  IF(F98="", "CLIENTE_VAZIA", ""),
  IF(G98="", "PRODUTO_VAZIA", ""),
  IF(J98="", "CIDADE_VAZIA", ""),
  IF(E98="", "DATA_VAZIA", "")
)</f>
        <v>PRECO_NEGATIVO; PRODUTO_VAZIA</v>
      </c>
      <c r="E98" t="s">
        <v>107</v>
      </c>
      <c r="F98" t="s">
        <v>26</v>
      </c>
      <c r="H98">
        <v>5</v>
      </c>
      <c r="I98">
        <v>-10</v>
      </c>
      <c r="J98" t="s">
        <v>17</v>
      </c>
    </row>
    <row r="99" spans="1:10" x14ac:dyDescent="0.25">
      <c r="A99">
        <f t="shared" si="7"/>
        <v>97</v>
      </c>
      <c r="B99">
        <v>100</v>
      </c>
      <c r="C99" t="str">
        <f t="shared" si="8"/>
        <v>COMPLETA</v>
      </c>
      <c r="D99" t="str">
        <f t="shared" si="9"/>
        <v>PRECO_NEGATIVO</v>
      </c>
      <c r="E99" t="s">
        <v>59</v>
      </c>
      <c r="F99" t="s">
        <v>8</v>
      </c>
      <c r="G99" t="s">
        <v>37</v>
      </c>
      <c r="H99">
        <v>10</v>
      </c>
      <c r="I99">
        <v>-10</v>
      </c>
      <c r="J99" t="s">
        <v>13</v>
      </c>
    </row>
    <row r="100" spans="1:10" x14ac:dyDescent="0.25">
      <c r="A100">
        <f t="shared" si="7"/>
        <v>98</v>
      </c>
      <c r="B100">
        <v>101</v>
      </c>
      <c r="C100" t="str">
        <f t="shared" si="8"/>
        <v>COMPLETA</v>
      </c>
      <c r="D100" t="str">
        <f t="shared" si="9"/>
        <v>QUANTIDADE_NEGATIVA; PRECO_TEXTO</v>
      </c>
      <c r="E100" t="s">
        <v>108</v>
      </c>
      <c r="F100" t="s">
        <v>8</v>
      </c>
      <c r="G100" t="s">
        <v>19</v>
      </c>
      <c r="H100">
        <v>-3</v>
      </c>
      <c r="I100" t="s">
        <v>35</v>
      </c>
      <c r="J100" t="s">
        <v>13</v>
      </c>
    </row>
    <row r="101" spans="1:10" x14ac:dyDescent="0.25">
      <c r="A101">
        <f t="shared" si="7"/>
        <v>99</v>
      </c>
      <c r="B101">
        <v>102</v>
      </c>
      <c r="C101" t="str">
        <f t="shared" si="8"/>
        <v>INCOMPLETA</v>
      </c>
      <c r="D101" t="str">
        <f t="shared" si="9"/>
        <v>QUANTIDADE_NEGATIVA; PRECO_NEGATIVO; CLIENTE_VAZIA; CIDADE_VAZIA</v>
      </c>
      <c r="E101" t="s">
        <v>109</v>
      </c>
      <c r="G101" t="s">
        <v>47</v>
      </c>
      <c r="H101">
        <v>-3</v>
      </c>
      <c r="I101">
        <v>-10</v>
      </c>
    </row>
    <row r="102" spans="1:10" x14ac:dyDescent="0.25">
      <c r="A102">
        <f t="shared" si="7"/>
        <v>100</v>
      </c>
      <c r="B102">
        <v>103</v>
      </c>
      <c r="C102" t="str">
        <f t="shared" si="8"/>
        <v>COMPLETA</v>
      </c>
      <c r="D102" t="str">
        <f t="shared" si="9"/>
        <v>PRECO_TEXTO</v>
      </c>
      <c r="E102" t="s">
        <v>18</v>
      </c>
      <c r="F102" t="s">
        <v>33</v>
      </c>
      <c r="G102" t="s">
        <v>15</v>
      </c>
      <c r="H102">
        <v>16</v>
      </c>
      <c r="I102" t="s">
        <v>35</v>
      </c>
      <c r="J102" t="s">
        <v>21</v>
      </c>
    </row>
    <row r="103" spans="1:10" x14ac:dyDescent="0.25">
      <c r="A103">
        <f t="shared" si="7"/>
        <v>101</v>
      </c>
      <c r="B103">
        <v>104</v>
      </c>
      <c r="C103" t="str">
        <f t="shared" si="8"/>
        <v>INCOMPLETA</v>
      </c>
      <c r="D103" t="str">
        <f t="shared" si="9"/>
        <v>PRECO_VAZIA</v>
      </c>
      <c r="E103" t="s">
        <v>91</v>
      </c>
      <c r="F103" t="s">
        <v>26</v>
      </c>
      <c r="G103" t="s">
        <v>23</v>
      </c>
      <c r="H103">
        <v>15</v>
      </c>
      <c r="J103" t="s">
        <v>49</v>
      </c>
    </row>
    <row r="104" spans="1:10" x14ac:dyDescent="0.25">
      <c r="A104">
        <f t="shared" si="7"/>
        <v>102</v>
      </c>
      <c r="B104">
        <v>104</v>
      </c>
      <c r="C104" t="str">
        <f t="shared" si="8"/>
        <v>INCOMPLETA</v>
      </c>
      <c r="D104" t="str">
        <f t="shared" si="9"/>
        <v>PRECO_NEGATIVO; PRODUTO_VAZIA; CIDADE_VAZIA</v>
      </c>
      <c r="E104" t="s">
        <v>42</v>
      </c>
      <c r="F104" t="s">
        <v>12</v>
      </c>
      <c r="H104">
        <v>15</v>
      </c>
      <c r="I104">
        <v>-10</v>
      </c>
    </row>
    <row r="105" spans="1:10" x14ac:dyDescent="0.25">
      <c r="A105">
        <f t="shared" si="7"/>
        <v>103</v>
      </c>
      <c r="B105">
        <v>105</v>
      </c>
      <c r="C105" t="str">
        <f t="shared" si="8"/>
        <v>INCOMPLETA</v>
      </c>
      <c r="D105" t="str">
        <f t="shared" si="9"/>
        <v>QUANTIDADE_NEGATIVA; PRECO_TEXTO; CIDADE_VAZIA</v>
      </c>
      <c r="E105" t="s">
        <v>110</v>
      </c>
      <c r="F105" t="s">
        <v>33</v>
      </c>
      <c r="G105" t="s">
        <v>53</v>
      </c>
      <c r="H105">
        <v>-3</v>
      </c>
      <c r="I105" t="s">
        <v>35</v>
      </c>
    </row>
    <row r="106" spans="1:10" x14ac:dyDescent="0.25">
      <c r="A106">
        <f t="shared" si="7"/>
        <v>104</v>
      </c>
      <c r="B106">
        <v>106</v>
      </c>
      <c r="C106" t="str">
        <f t="shared" si="8"/>
        <v>INCOMPLETA</v>
      </c>
      <c r="D106" t="str">
        <f t="shared" si="9"/>
        <v>PRECO_VAZIA; CIDADE_VAZIA</v>
      </c>
      <c r="E106" t="s">
        <v>18</v>
      </c>
      <c r="F106" t="s">
        <v>8</v>
      </c>
      <c r="G106" t="s">
        <v>31</v>
      </c>
      <c r="H106">
        <v>18</v>
      </c>
    </row>
    <row r="107" spans="1:10" x14ac:dyDescent="0.25">
      <c r="A107">
        <f t="shared" si="7"/>
        <v>105</v>
      </c>
      <c r="B107">
        <v>107</v>
      </c>
      <c r="C107" t="str">
        <f t="shared" si="8"/>
        <v>INCOMPLETA</v>
      </c>
      <c r="D107" t="str">
        <f t="shared" si="9"/>
        <v>QUANTIDADE_NEGATIVA; PRECO_TEXTO; CLIENTE_VAZIA</v>
      </c>
      <c r="E107" t="s">
        <v>80</v>
      </c>
      <c r="G107" t="s">
        <v>37</v>
      </c>
      <c r="H107">
        <v>-3</v>
      </c>
      <c r="I107" t="s">
        <v>35</v>
      </c>
      <c r="J107" t="s">
        <v>17</v>
      </c>
    </row>
    <row r="108" spans="1:10" x14ac:dyDescent="0.25">
      <c r="A108">
        <f t="shared" si="7"/>
        <v>106</v>
      </c>
      <c r="B108">
        <v>107</v>
      </c>
      <c r="C108" t="str">
        <f t="shared" si="8"/>
        <v>COMPLETA</v>
      </c>
      <c r="D108" t="str">
        <f t="shared" si="9"/>
        <v/>
      </c>
      <c r="E108" t="s">
        <v>111</v>
      </c>
      <c r="F108" t="s">
        <v>26</v>
      </c>
      <c r="G108" t="s">
        <v>23</v>
      </c>
      <c r="H108">
        <v>14</v>
      </c>
      <c r="I108">
        <v>382.58</v>
      </c>
      <c r="J108" t="s">
        <v>49</v>
      </c>
    </row>
    <row r="109" spans="1:10" x14ac:dyDescent="0.25">
      <c r="A109">
        <f t="shared" si="7"/>
        <v>107</v>
      </c>
      <c r="B109">
        <v>108</v>
      </c>
      <c r="C109" t="str">
        <f t="shared" si="8"/>
        <v>COMPLETA</v>
      </c>
      <c r="D109" t="str">
        <f t="shared" si="9"/>
        <v>PRECO_TEXTO</v>
      </c>
      <c r="E109" t="s">
        <v>58</v>
      </c>
      <c r="F109" t="s">
        <v>12</v>
      </c>
      <c r="G109" t="s">
        <v>37</v>
      </c>
      <c r="H109">
        <v>11</v>
      </c>
      <c r="I109" t="s">
        <v>35</v>
      </c>
      <c r="J109" t="s">
        <v>49</v>
      </c>
    </row>
    <row r="110" spans="1:10" x14ac:dyDescent="0.25">
      <c r="A110">
        <f t="shared" si="7"/>
        <v>108</v>
      </c>
      <c r="B110">
        <v>109</v>
      </c>
      <c r="C110" t="str">
        <f t="shared" si="8"/>
        <v>INCOMPLETA</v>
      </c>
      <c r="D110" t="str">
        <f t="shared" si="9"/>
        <v>QUANTIDADE_VAZIA; PRECO_NEGATIVO</v>
      </c>
      <c r="E110" t="s">
        <v>55</v>
      </c>
      <c r="F110" t="s">
        <v>33</v>
      </c>
      <c r="G110" t="s">
        <v>15</v>
      </c>
      <c r="I110">
        <v>-10</v>
      </c>
      <c r="J110" t="s">
        <v>10</v>
      </c>
    </row>
    <row r="111" spans="1:10" x14ac:dyDescent="0.25">
      <c r="A111">
        <f t="shared" si="7"/>
        <v>109</v>
      </c>
      <c r="B111">
        <v>110</v>
      </c>
      <c r="C111" t="str">
        <f t="shared" si="8"/>
        <v>COMPLETA</v>
      </c>
      <c r="D111" t="str">
        <f t="shared" si="9"/>
        <v/>
      </c>
      <c r="E111" t="s">
        <v>46</v>
      </c>
      <c r="F111" t="s">
        <v>33</v>
      </c>
      <c r="G111" t="s">
        <v>47</v>
      </c>
      <c r="H111">
        <v>15</v>
      </c>
      <c r="I111">
        <v>339.95</v>
      </c>
      <c r="J111" t="s">
        <v>21</v>
      </c>
    </row>
    <row r="112" spans="1:10" x14ac:dyDescent="0.25">
      <c r="A112">
        <f t="shared" si="7"/>
        <v>110</v>
      </c>
      <c r="B112">
        <v>110</v>
      </c>
      <c r="C112" t="str">
        <f t="shared" si="8"/>
        <v>INCOMPLETA</v>
      </c>
      <c r="D112" t="str">
        <f t="shared" si="9"/>
        <v>QUANTIDADE_NEGATIVA; PRECO_NEGATIVO; CLIENTE_VAZIA</v>
      </c>
      <c r="E112" t="s">
        <v>112</v>
      </c>
      <c r="G112" t="s">
        <v>15</v>
      </c>
      <c r="H112">
        <v>-3</v>
      </c>
      <c r="I112">
        <v>-10</v>
      </c>
      <c r="J112" t="s">
        <v>17</v>
      </c>
    </row>
    <row r="113" spans="1:10" x14ac:dyDescent="0.25">
      <c r="A113">
        <f t="shared" si="7"/>
        <v>111</v>
      </c>
      <c r="B113">
        <v>111</v>
      </c>
      <c r="C113" t="str">
        <f t="shared" si="8"/>
        <v>INCOMPLETA</v>
      </c>
      <c r="D113" t="str">
        <f t="shared" si="9"/>
        <v>PRECO_TEXTO; CLIENTE_VAZIA; PRODUTO_VAZIA</v>
      </c>
      <c r="E113" t="s">
        <v>52</v>
      </c>
      <c r="H113">
        <v>10</v>
      </c>
      <c r="I113" t="s">
        <v>35</v>
      </c>
      <c r="J113" t="s">
        <v>10</v>
      </c>
    </row>
    <row r="114" spans="1:10" x14ac:dyDescent="0.25">
      <c r="A114">
        <f t="shared" si="7"/>
        <v>112</v>
      </c>
      <c r="B114">
        <v>111</v>
      </c>
      <c r="C114" t="str">
        <f t="shared" si="8"/>
        <v>INCOMPLETA</v>
      </c>
      <c r="D114" t="str">
        <f t="shared" si="9"/>
        <v>PRECO_TEXTO; PRODUTO_VAZIA</v>
      </c>
      <c r="E114" t="s">
        <v>113</v>
      </c>
      <c r="F114" t="s">
        <v>8</v>
      </c>
      <c r="H114">
        <v>6</v>
      </c>
      <c r="I114" t="s">
        <v>35</v>
      </c>
      <c r="J114" t="s">
        <v>10</v>
      </c>
    </row>
    <row r="115" spans="1:10" x14ac:dyDescent="0.25">
      <c r="A115">
        <f t="shared" si="7"/>
        <v>113</v>
      </c>
      <c r="B115">
        <v>112</v>
      </c>
      <c r="C115" t="str">
        <f t="shared" si="8"/>
        <v>INCOMPLETA</v>
      </c>
      <c r="D115" t="str">
        <f t="shared" si="9"/>
        <v>QUANTIDADE_VAZIA; PRECO_NEGATIVO</v>
      </c>
      <c r="E115" t="s">
        <v>114</v>
      </c>
      <c r="F115" t="s">
        <v>8</v>
      </c>
      <c r="G115" t="s">
        <v>31</v>
      </c>
      <c r="I115">
        <v>-10</v>
      </c>
      <c r="J115" t="s">
        <v>21</v>
      </c>
    </row>
    <row r="116" spans="1:10" x14ac:dyDescent="0.25">
      <c r="A116">
        <f t="shared" si="7"/>
        <v>114</v>
      </c>
      <c r="B116">
        <v>113</v>
      </c>
      <c r="C116" t="str">
        <f t="shared" si="8"/>
        <v>COMPLETA</v>
      </c>
      <c r="D116" t="str">
        <f t="shared" si="9"/>
        <v>PRECO_NEGATIVO</v>
      </c>
      <c r="E116" t="s">
        <v>45</v>
      </c>
      <c r="F116" t="s">
        <v>8</v>
      </c>
      <c r="G116" t="s">
        <v>53</v>
      </c>
      <c r="H116">
        <v>10</v>
      </c>
      <c r="I116">
        <v>-10</v>
      </c>
      <c r="J116" t="s">
        <v>17</v>
      </c>
    </row>
    <row r="117" spans="1:10" x14ac:dyDescent="0.25">
      <c r="A117">
        <f t="shared" si="7"/>
        <v>115</v>
      </c>
      <c r="B117">
        <v>113</v>
      </c>
      <c r="C117" t="str">
        <f t="shared" si="8"/>
        <v>INCOMPLETA</v>
      </c>
      <c r="D117" t="str">
        <f t="shared" si="9"/>
        <v>QUANTIDADE_NEGATIVA; PRECO_VAZIA</v>
      </c>
      <c r="E117" t="s">
        <v>81</v>
      </c>
      <c r="F117" t="s">
        <v>33</v>
      </c>
      <c r="G117" t="s">
        <v>31</v>
      </c>
      <c r="H117">
        <v>-3</v>
      </c>
      <c r="J117" t="s">
        <v>10</v>
      </c>
    </row>
    <row r="118" spans="1:10" x14ac:dyDescent="0.25">
      <c r="A118">
        <f t="shared" si="7"/>
        <v>116</v>
      </c>
      <c r="B118">
        <v>115</v>
      </c>
      <c r="C118" t="str">
        <f t="shared" si="8"/>
        <v>COMPLETA</v>
      </c>
      <c r="D118" t="str">
        <f t="shared" si="9"/>
        <v>PRECO_NEGATIVO</v>
      </c>
      <c r="E118" t="s">
        <v>116</v>
      </c>
      <c r="F118" t="s">
        <v>8</v>
      </c>
      <c r="G118" t="s">
        <v>15</v>
      </c>
      <c r="H118">
        <v>4</v>
      </c>
      <c r="I118">
        <v>-10</v>
      </c>
      <c r="J118" t="s">
        <v>21</v>
      </c>
    </row>
    <row r="119" spans="1:10" x14ac:dyDescent="0.25">
      <c r="A119">
        <f t="shared" si="7"/>
        <v>117</v>
      </c>
      <c r="B119">
        <v>116</v>
      </c>
      <c r="C119" t="str">
        <f t="shared" si="8"/>
        <v>INCOMPLETA</v>
      </c>
      <c r="D119" t="str">
        <f t="shared" si="9"/>
        <v>PRECO_VAZIA</v>
      </c>
      <c r="E119" t="s">
        <v>117</v>
      </c>
      <c r="F119" t="s">
        <v>26</v>
      </c>
      <c r="G119" t="s">
        <v>23</v>
      </c>
      <c r="H119">
        <v>10</v>
      </c>
      <c r="J119" t="s">
        <v>13</v>
      </c>
    </row>
    <row r="120" spans="1:10" x14ac:dyDescent="0.25">
      <c r="A120">
        <f t="shared" si="7"/>
        <v>118</v>
      </c>
      <c r="B120">
        <v>117</v>
      </c>
      <c r="C120" t="str">
        <f t="shared" si="8"/>
        <v>INCOMPLETA</v>
      </c>
      <c r="D120" t="str">
        <f t="shared" si="9"/>
        <v>PRECO_TEXTO; PRODUTO_VAZIA</v>
      </c>
      <c r="E120" t="s">
        <v>118</v>
      </c>
      <c r="F120" t="s">
        <v>8</v>
      </c>
      <c r="H120">
        <v>10</v>
      </c>
      <c r="I120" t="s">
        <v>35</v>
      </c>
      <c r="J120" t="s">
        <v>49</v>
      </c>
    </row>
    <row r="121" spans="1:10" x14ac:dyDescent="0.25">
      <c r="A121">
        <f t="shared" si="7"/>
        <v>119</v>
      </c>
      <c r="B121">
        <v>118</v>
      </c>
      <c r="C121" t="str">
        <f t="shared" si="8"/>
        <v>INCOMPLETA</v>
      </c>
      <c r="D121" t="str">
        <f t="shared" si="9"/>
        <v>PRECO_VAZIA; CIDADE_VAZIA</v>
      </c>
      <c r="E121" t="s">
        <v>119</v>
      </c>
      <c r="F121" t="s">
        <v>8</v>
      </c>
      <c r="G121" t="s">
        <v>23</v>
      </c>
      <c r="H121">
        <v>15</v>
      </c>
    </row>
    <row r="122" spans="1:10" x14ac:dyDescent="0.25">
      <c r="A122">
        <f t="shared" si="7"/>
        <v>120</v>
      </c>
      <c r="B122">
        <v>119</v>
      </c>
      <c r="C122" t="str">
        <f t="shared" si="8"/>
        <v>INCOMPLETA</v>
      </c>
      <c r="D122" t="str">
        <f t="shared" si="9"/>
        <v>QUANTIDADE_NEGATIVA; CLIENTE_VAZIA</v>
      </c>
      <c r="E122" t="s">
        <v>120</v>
      </c>
      <c r="G122" t="s">
        <v>19</v>
      </c>
      <c r="H122">
        <v>-3</v>
      </c>
      <c r="I122">
        <v>16.82</v>
      </c>
      <c r="J122" t="s">
        <v>49</v>
      </c>
    </row>
    <row r="123" spans="1:10" x14ac:dyDescent="0.25">
      <c r="A123">
        <f t="shared" si="7"/>
        <v>121</v>
      </c>
      <c r="B123">
        <v>120</v>
      </c>
      <c r="C123" t="str">
        <f t="shared" si="8"/>
        <v>COMPLETA</v>
      </c>
      <c r="D123" t="str">
        <f t="shared" si="9"/>
        <v>PRECO_NEGATIVO</v>
      </c>
      <c r="E123" t="s">
        <v>84</v>
      </c>
      <c r="F123" t="s">
        <v>8</v>
      </c>
      <c r="G123" t="s">
        <v>47</v>
      </c>
      <c r="H123">
        <v>12</v>
      </c>
      <c r="I123">
        <v>-10</v>
      </c>
      <c r="J123" t="s">
        <v>21</v>
      </c>
    </row>
    <row r="124" spans="1:10" x14ac:dyDescent="0.25">
      <c r="A124">
        <f t="shared" si="7"/>
        <v>122</v>
      </c>
      <c r="B124">
        <v>121</v>
      </c>
      <c r="C124" t="str">
        <f t="shared" si="8"/>
        <v>INCOMPLETA</v>
      </c>
      <c r="D124" t="str">
        <f t="shared" si="9"/>
        <v>QUANTIDADE_NEGATIVA; PRECO_TEXTO; CIDADE_VAZIA</v>
      </c>
      <c r="E124" t="s">
        <v>121</v>
      </c>
      <c r="F124" t="s">
        <v>8</v>
      </c>
      <c r="G124" t="s">
        <v>9</v>
      </c>
      <c r="H124">
        <v>-3</v>
      </c>
      <c r="I124" t="s">
        <v>35</v>
      </c>
    </row>
    <row r="125" spans="1:10" x14ac:dyDescent="0.25">
      <c r="A125">
        <f t="shared" si="7"/>
        <v>123</v>
      </c>
      <c r="B125">
        <v>122</v>
      </c>
      <c r="C125" t="str">
        <f t="shared" si="8"/>
        <v>INCOMPLETA</v>
      </c>
      <c r="D125" t="str">
        <f t="shared" si="9"/>
        <v>QUANTIDADE_NEGATIVA; PRECO_VAZIA</v>
      </c>
      <c r="E125" t="s">
        <v>30</v>
      </c>
      <c r="F125" t="s">
        <v>12</v>
      </c>
      <c r="G125" t="s">
        <v>37</v>
      </c>
      <c r="H125">
        <v>-3</v>
      </c>
      <c r="J125" t="s">
        <v>10</v>
      </c>
    </row>
    <row r="126" spans="1:10" x14ac:dyDescent="0.25">
      <c r="A126">
        <f t="shared" si="7"/>
        <v>124</v>
      </c>
      <c r="B126">
        <v>123</v>
      </c>
      <c r="C126" t="str">
        <f t="shared" si="8"/>
        <v>INCOMPLETA</v>
      </c>
      <c r="D126" t="str">
        <f t="shared" si="9"/>
        <v>QUANTIDADE_VAZIA; PRODUTO_VAZIA</v>
      </c>
      <c r="E126" t="s">
        <v>122</v>
      </c>
      <c r="F126" t="s">
        <v>8</v>
      </c>
      <c r="I126">
        <v>443.85</v>
      </c>
      <c r="J126" t="s">
        <v>49</v>
      </c>
    </row>
    <row r="127" spans="1:10" x14ac:dyDescent="0.25">
      <c r="A127">
        <f t="shared" si="7"/>
        <v>125</v>
      </c>
      <c r="B127">
        <v>124</v>
      </c>
      <c r="C127" t="str">
        <f t="shared" si="8"/>
        <v>INCOMPLETA</v>
      </c>
      <c r="D127" t="str">
        <f t="shared" si="9"/>
        <v>QUANTIDADE_NEGATIVA; PRECO_VAZIA</v>
      </c>
      <c r="E127" t="s">
        <v>14</v>
      </c>
      <c r="F127" t="s">
        <v>12</v>
      </c>
      <c r="G127" t="s">
        <v>19</v>
      </c>
      <c r="H127">
        <v>-3</v>
      </c>
      <c r="J127" t="s">
        <v>17</v>
      </c>
    </row>
    <row r="128" spans="1:10" x14ac:dyDescent="0.25">
      <c r="A128">
        <f t="shared" si="7"/>
        <v>126</v>
      </c>
      <c r="B128">
        <v>127</v>
      </c>
      <c r="C128" t="str">
        <f t="shared" si="8"/>
        <v>INCOMPLETA</v>
      </c>
      <c r="D128" t="str">
        <f t="shared" si="9"/>
        <v>QUANTIDADE_VAZIA; PRECO_VAZIA; CLIENTE_VAZIA</v>
      </c>
      <c r="E128" t="s">
        <v>125</v>
      </c>
      <c r="G128" t="s">
        <v>9</v>
      </c>
      <c r="J128" t="s">
        <v>17</v>
      </c>
    </row>
    <row r="129" spans="1:10" x14ac:dyDescent="0.25">
      <c r="A129">
        <f t="shared" si="7"/>
        <v>127</v>
      </c>
      <c r="B129">
        <v>128</v>
      </c>
      <c r="C129" t="str">
        <f t="shared" si="8"/>
        <v>INCOMPLETA</v>
      </c>
      <c r="D129" t="str">
        <f t="shared" si="9"/>
        <v>QUANTIDADE_VAZIA; PRECO_VAZIA</v>
      </c>
      <c r="E129" t="s">
        <v>126</v>
      </c>
      <c r="F129" t="s">
        <v>12</v>
      </c>
      <c r="G129" t="s">
        <v>53</v>
      </c>
      <c r="J129" t="s">
        <v>21</v>
      </c>
    </row>
    <row r="130" spans="1:10" x14ac:dyDescent="0.25">
      <c r="A130">
        <f t="shared" si="7"/>
        <v>128</v>
      </c>
      <c r="B130">
        <v>129</v>
      </c>
      <c r="C130" t="str">
        <f t="shared" ref="C130:C161" si="10">IF(AND(B130&lt;&gt;"",E130&lt;&gt;"",F130&lt;&gt;"",G130&lt;&gt;"",H130&lt;&gt;"",I130&lt;&gt;"",J130&lt;&gt;""),"COMPLETA","INCOMPLETA")</f>
        <v>INCOMPLETA</v>
      </c>
      <c r="D130" t="str">
        <f t="shared" ref="D130:D161" si="11">_xlfn.TEXTJOIN("; ", TRUE,
  IF(H130="", "QUANTIDADE_VAZIA", ""),
  IF(AND(ISNUMBER(H130), H130&lt;0), "QUANTIDADE_NEGATIVA", ""),
  IF(I130="", "PRECO_VAZIA", ""),
  IF(AND(ISNUMBER(I130), I130&lt;0), "PRECO_NEGATIVO", ""),
  IF(AND(I130&lt;&gt;"", NOT(ISNUMBER(I130))), "PRECO_TEXTO", ""),
  IF(F130="", "CLIENTE_VAZIA", ""),
  IF(G130="", "PRODUTO_VAZIA", ""),
  IF(J130="", "CIDADE_VAZIA", ""),
  IF(E130="", "DATA_VAZIA", "")
)</f>
        <v>QUANTIDADE_VAZIA</v>
      </c>
      <c r="E130" t="s">
        <v>7</v>
      </c>
      <c r="F130" t="s">
        <v>26</v>
      </c>
      <c r="G130" t="s">
        <v>37</v>
      </c>
      <c r="I130">
        <v>298.54000000000002</v>
      </c>
      <c r="J130" t="s">
        <v>13</v>
      </c>
    </row>
    <row r="131" spans="1:10" x14ac:dyDescent="0.25">
      <c r="A131">
        <f t="shared" ref="A131:A194" si="12">ROW() -2</f>
        <v>129</v>
      </c>
      <c r="B131">
        <v>130</v>
      </c>
      <c r="C131" t="str">
        <f t="shared" si="10"/>
        <v>INCOMPLETA</v>
      </c>
      <c r="D131" t="str">
        <f t="shared" si="11"/>
        <v>PRECO_TEXTO; PRODUTO_VAZIA</v>
      </c>
      <c r="E131" t="s">
        <v>127</v>
      </c>
      <c r="F131" t="s">
        <v>33</v>
      </c>
      <c r="H131">
        <v>4</v>
      </c>
      <c r="I131" t="s">
        <v>35</v>
      </c>
      <c r="J131" t="s">
        <v>10</v>
      </c>
    </row>
    <row r="132" spans="1:10" x14ac:dyDescent="0.25">
      <c r="A132">
        <f t="shared" si="12"/>
        <v>130</v>
      </c>
      <c r="B132">
        <v>131</v>
      </c>
      <c r="C132" t="str">
        <f t="shared" si="10"/>
        <v>INCOMPLETA</v>
      </c>
      <c r="D132" t="str">
        <f t="shared" si="11"/>
        <v>PRECO_TEXTO; CLIENTE_VAZIA</v>
      </c>
      <c r="E132" t="s">
        <v>128</v>
      </c>
      <c r="G132" t="s">
        <v>9</v>
      </c>
      <c r="H132">
        <v>20</v>
      </c>
      <c r="I132" t="s">
        <v>35</v>
      </c>
      <c r="J132" t="s">
        <v>49</v>
      </c>
    </row>
    <row r="133" spans="1:10" x14ac:dyDescent="0.25">
      <c r="A133">
        <f t="shared" si="12"/>
        <v>131</v>
      </c>
      <c r="B133">
        <v>132</v>
      </c>
      <c r="C133" t="str">
        <f t="shared" si="10"/>
        <v>INCOMPLETA</v>
      </c>
      <c r="D133" t="str">
        <f t="shared" si="11"/>
        <v>QUANTIDADE_NEGATIVA; PRECO_NEGATIVO; CIDADE_VAZIA</v>
      </c>
      <c r="E133" t="s">
        <v>11</v>
      </c>
      <c r="F133" t="s">
        <v>12</v>
      </c>
      <c r="G133" t="s">
        <v>31</v>
      </c>
      <c r="H133">
        <v>-3</v>
      </c>
      <c r="I133">
        <v>-10</v>
      </c>
    </row>
    <row r="134" spans="1:10" x14ac:dyDescent="0.25">
      <c r="A134">
        <f t="shared" si="12"/>
        <v>132</v>
      </c>
      <c r="B134">
        <v>133</v>
      </c>
      <c r="C134" t="str">
        <f t="shared" si="10"/>
        <v>INCOMPLETA</v>
      </c>
      <c r="D134" t="str">
        <f t="shared" si="11"/>
        <v>QUANTIDADE_VAZIA; PRECO_TEXTO</v>
      </c>
      <c r="E134" t="s">
        <v>98</v>
      </c>
      <c r="F134" t="s">
        <v>12</v>
      </c>
      <c r="G134" t="s">
        <v>19</v>
      </c>
      <c r="I134" t="s">
        <v>35</v>
      </c>
      <c r="J134" t="s">
        <v>10</v>
      </c>
    </row>
    <row r="135" spans="1:10" x14ac:dyDescent="0.25">
      <c r="A135">
        <f t="shared" si="12"/>
        <v>133</v>
      </c>
      <c r="B135">
        <v>134</v>
      </c>
      <c r="C135" t="str">
        <f t="shared" si="10"/>
        <v>COMPLETA</v>
      </c>
      <c r="D135" t="str">
        <f t="shared" si="11"/>
        <v>PRECO_NEGATIVO</v>
      </c>
      <c r="E135" t="s">
        <v>129</v>
      </c>
      <c r="F135" t="s">
        <v>8</v>
      </c>
      <c r="G135" t="s">
        <v>47</v>
      </c>
      <c r="H135">
        <v>10</v>
      </c>
      <c r="I135">
        <v>-10</v>
      </c>
      <c r="J135" t="s">
        <v>21</v>
      </c>
    </row>
    <row r="136" spans="1:10" x14ac:dyDescent="0.25">
      <c r="A136">
        <f t="shared" si="12"/>
        <v>134</v>
      </c>
      <c r="B136">
        <v>135</v>
      </c>
      <c r="C136" t="str">
        <f t="shared" si="10"/>
        <v>INCOMPLETA</v>
      </c>
      <c r="D136" t="str">
        <f t="shared" si="11"/>
        <v>QUANTIDADE_NEGATIVA; PRECO_NEGATIVO; CLIENTE_VAZIA</v>
      </c>
      <c r="E136" t="s">
        <v>130</v>
      </c>
      <c r="G136" t="s">
        <v>9</v>
      </c>
      <c r="H136">
        <v>-3</v>
      </c>
      <c r="I136">
        <v>-10</v>
      </c>
      <c r="J136" t="s">
        <v>17</v>
      </c>
    </row>
    <row r="137" spans="1:10" x14ac:dyDescent="0.25">
      <c r="A137">
        <f t="shared" si="12"/>
        <v>135</v>
      </c>
      <c r="B137">
        <v>136</v>
      </c>
      <c r="C137" t="str">
        <f t="shared" si="10"/>
        <v>COMPLETA</v>
      </c>
      <c r="D137" t="str">
        <f t="shared" si="11"/>
        <v>QUANTIDADE_NEGATIVA; PRECO_TEXTO</v>
      </c>
      <c r="E137" t="s">
        <v>68</v>
      </c>
      <c r="F137" t="s">
        <v>33</v>
      </c>
      <c r="G137" t="s">
        <v>23</v>
      </c>
      <c r="H137">
        <v>-3</v>
      </c>
      <c r="I137" t="s">
        <v>35</v>
      </c>
      <c r="J137" t="s">
        <v>17</v>
      </c>
    </row>
    <row r="138" spans="1:10" x14ac:dyDescent="0.25">
      <c r="A138">
        <f t="shared" si="12"/>
        <v>136</v>
      </c>
      <c r="B138">
        <v>137</v>
      </c>
      <c r="C138" t="str">
        <f t="shared" si="10"/>
        <v>INCOMPLETA</v>
      </c>
      <c r="D138" t="str">
        <f t="shared" si="11"/>
        <v>CIDADE_VAZIA</v>
      </c>
      <c r="E138" t="s">
        <v>131</v>
      </c>
      <c r="F138" t="s">
        <v>33</v>
      </c>
      <c r="G138" t="s">
        <v>23</v>
      </c>
      <c r="H138">
        <v>3</v>
      </c>
      <c r="I138">
        <v>55.68</v>
      </c>
    </row>
    <row r="139" spans="1:10" x14ac:dyDescent="0.25">
      <c r="A139">
        <f t="shared" si="12"/>
        <v>137</v>
      </c>
      <c r="B139">
        <v>138</v>
      </c>
      <c r="C139" t="str">
        <f t="shared" si="10"/>
        <v>INCOMPLETA</v>
      </c>
      <c r="D139" t="str">
        <f t="shared" si="11"/>
        <v>PRECO_NEGATIVO; CLIENTE_VAZIA</v>
      </c>
      <c r="E139" t="s">
        <v>132</v>
      </c>
      <c r="G139" t="s">
        <v>37</v>
      </c>
      <c r="H139">
        <v>10</v>
      </c>
      <c r="I139">
        <v>-10</v>
      </c>
      <c r="J139" t="s">
        <v>17</v>
      </c>
    </row>
    <row r="140" spans="1:10" x14ac:dyDescent="0.25">
      <c r="A140">
        <f t="shared" si="12"/>
        <v>138</v>
      </c>
      <c r="B140">
        <v>139</v>
      </c>
      <c r="C140" t="str">
        <f t="shared" si="10"/>
        <v>INCOMPLETA</v>
      </c>
      <c r="D140" t="str">
        <f t="shared" si="11"/>
        <v>PRECO_VAZIA</v>
      </c>
      <c r="E140" t="s">
        <v>77</v>
      </c>
      <c r="F140" t="s">
        <v>33</v>
      </c>
      <c r="G140" t="s">
        <v>37</v>
      </c>
      <c r="H140">
        <v>10</v>
      </c>
      <c r="J140" t="s">
        <v>13</v>
      </c>
    </row>
    <row r="141" spans="1:10" x14ac:dyDescent="0.25">
      <c r="A141">
        <f t="shared" si="12"/>
        <v>139</v>
      </c>
      <c r="B141">
        <v>140</v>
      </c>
      <c r="C141" t="str">
        <f t="shared" si="10"/>
        <v>COMPLETA</v>
      </c>
      <c r="D141" t="str">
        <f t="shared" si="11"/>
        <v>PRECO_TEXTO</v>
      </c>
      <c r="E141" t="s">
        <v>133</v>
      </c>
      <c r="F141" t="s">
        <v>12</v>
      </c>
      <c r="G141" t="s">
        <v>19</v>
      </c>
      <c r="H141">
        <v>10</v>
      </c>
      <c r="I141" t="s">
        <v>35</v>
      </c>
      <c r="J141" t="s">
        <v>10</v>
      </c>
    </row>
    <row r="142" spans="1:10" x14ac:dyDescent="0.25">
      <c r="A142">
        <f t="shared" si="12"/>
        <v>140</v>
      </c>
      <c r="B142">
        <v>141</v>
      </c>
      <c r="C142" t="str">
        <f t="shared" si="10"/>
        <v>INCOMPLETA</v>
      </c>
      <c r="D142" t="str">
        <f t="shared" si="11"/>
        <v>PRECO_TEXTO; CLIENTE_VAZIA; PRODUTO_VAZIA; CIDADE_VAZIA</v>
      </c>
      <c r="E142" t="s">
        <v>97</v>
      </c>
      <c r="H142">
        <v>10</v>
      </c>
      <c r="I142" t="s">
        <v>35</v>
      </c>
    </row>
    <row r="143" spans="1:10" x14ac:dyDescent="0.25">
      <c r="A143">
        <f t="shared" si="12"/>
        <v>141</v>
      </c>
      <c r="B143">
        <v>142</v>
      </c>
      <c r="C143" t="str">
        <f t="shared" si="10"/>
        <v>INCOMPLETA</v>
      </c>
      <c r="D143" t="str">
        <f t="shared" si="11"/>
        <v>QUANTIDADE_VAZIA; PRECO_NEGATIVO</v>
      </c>
      <c r="E143" t="s">
        <v>48</v>
      </c>
      <c r="F143" t="s">
        <v>8</v>
      </c>
      <c r="G143" t="s">
        <v>37</v>
      </c>
      <c r="I143">
        <v>-10</v>
      </c>
      <c r="J143" t="s">
        <v>21</v>
      </c>
    </row>
    <row r="144" spans="1:10" x14ac:dyDescent="0.25">
      <c r="A144">
        <f t="shared" si="12"/>
        <v>142</v>
      </c>
      <c r="B144">
        <v>143</v>
      </c>
      <c r="C144" t="str">
        <f t="shared" si="10"/>
        <v>INCOMPLETA</v>
      </c>
      <c r="D144" t="str">
        <f t="shared" si="11"/>
        <v>QUANTIDADE_VAZIA; PRECO_NEGATIVO</v>
      </c>
      <c r="E144" t="s">
        <v>134</v>
      </c>
      <c r="F144" t="s">
        <v>12</v>
      </c>
      <c r="G144" t="s">
        <v>23</v>
      </c>
      <c r="I144">
        <v>-10</v>
      </c>
      <c r="J144" t="s">
        <v>17</v>
      </c>
    </row>
    <row r="145" spans="1:10" x14ac:dyDescent="0.25">
      <c r="A145">
        <f t="shared" si="12"/>
        <v>143</v>
      </c>
      <c r="B145">
        <v>144</v>
      </c>
      <c r="C145" t="str">
        <f t="shared" si="10"/>
        <v>INCOMPLETA</v>
      </c>
      <c r="D145" t="str">
        <f t="shared" si="11"/>
        <v>QUANTIDADE_VAZIA; CIDADE_VAZIA</v>
      </c>
      <c r="E145" t="s">
        <v>135</v>
      </c>
      <c r="F145" t="s">
        <v>8</v>
      </c>
      <c r="G145" t="s">
        <v>23</v>
      </c>
      <c r="I145">
        <v>87.13</v>
      </c>
    </row>
    <row r="146" spans="1:10" x14ac:dyDescent="0.25">
      <c r="A146">
        <f t="shared" si="12"/>
        <v>144</v>
      </c>
      <c r="B146">
        <v>146</v>
      </c>
      <c r="C146" t="str">
        <f t="shared" si="10"/>
        <v>COMPLETA</v>
      </c>
      <c r="D146" t="str">
        <f t="shared" si="11"/>
        <v>QUANTIDADE_NEGATIVA; PRECO_TEXTO</v>
      </c>
      <c r="E146" t="s">
        <v>73</v>
      </c>
      <c r="F146" t="s">
        <v>12</v>
      </c>
      <c r="G146" t="s">
        <v>53</v>
      </c>
      <c r="H146">
        <v>-3</v>
      </c>
      <c r="I146" t="s">
        <v>35</v>
      </c>
      <c r="J146" t="s">
        <v>21</v>
      </c>
    </row>
    <row r="147" spans="1:10" x14ac:dyDescent="0.25">
      <c r="A147">
        <f t="shared" si="12"/>
        <v>145</v>
      </c>
      <c r="B147">
        <v>147</v>
      </c>
      <c r="C147" t="str">
        <f t="shared" si="10"/>
        <v>INCOMPLETA</v>
      </c>
      <c r="D147" t="str">
        <f t="shared" si="11"/>
        <v>PRECO_VAZIA</v>
      </c>
      <c r="E147" t="s">
        <v>136</v>
      </c>
      <c r="F147" t="s">
        <v>12</v>
      </c>
      <c r="G147" t="s">
        <v>37</v>
      </c>
      <c r="H147">
        <v>10</v>
      </c>
      <c r="J147" t="s">
        <v>17</v>
      </c>
    </row>
    <row r="148" spans="1:10" x14ac:dyDescent="0.25">
      <c r="A148">
        <f t="shared" si="12"/>
        <v>146</v>
      </c>
      <c r="B148">
        <v>148</v>
      </c>
      <c r="C148" t="str">
        <f t="shared" si="10"/>
        <v>INCOMPLETA</v>
      </c>
      <c r="D148" t="str">
        <f t="shared" si="11"/>
        <v>QUANTIDADE_VAZIA; PRECO_VAZIA</v>
      </c>
      <c r="E148" t="s">
        <v>85</v>
      </c>
      <c r="F148" t="s">
        <v>12</v>
      </c>
      <c r="G148" t="s">
        <v>31</v>
      </c>
      <c r="J148" t="s">
        <v>10</v>
      </c>
    </row>
    <row r="149" spans="1:10" x14ac:dyDescent="0.25">
      <c r="A149">
        <f t="shared" si="12"/>
        <v>147</v>
      </c>
      <c r="B149">
        <v>149</v>
      </c>
      <c r="C149" t="str">
        <f t="shared" si="10"/>
        <v>COMPLETA</v>
      </c>
      <c r="D149" t="str">
        <f t="shared" si="11"/>
        <v>PRECO_NEGATIVO</v>
      </c>
      <c r="E149" t="s">
        <v>83</v>
      </c>
      <c r="F149" t="s">
        <v>8</v>
      </c>
      <c r="G149" t="s">
        <v>23</v>
      </c>
      <c r="H149">
        <v>13</v>
      </c>
      <c r="I149">
        <v>-10</v>
      </c>
      <c r="J149" t="s">
        <v>21</v>
      </c>
    </row>
    <row r="150" spans="1:10" x14ac:dyDescent="0.25">
      <c r="A150">
        <f t="shared" si="12"/>
        <v>148</v>
      </c>
      <c r="B150">
        <v>150</v>
      </c>
      <c r="C150" t="str">
        <f t="shared" si="10"/>
        <v>COMPLETA</v>
      </c>
      <c r="D150" t="str">
        <f t="shared" si="11"/>
        <v/>
      </c>
      <c r="E150" t="s">
        <v>101</v>
      </c>
      <c r="F150" t="s">
        <v>33</v>
      </c>
      <c r="G150" t="s">
        <v>47</v>
      </c>
      <c r="H150">
        <v>10</v>
      </c>
      <c r="I150">
        <v>66.430000000000007</v>
      </c>
      <c r="J150" t="s">
        <v>17</v>
      </c>
    </row>
    <row r="151" spans="1:10" x14ac:dyDescent="0.25">
      <c r="A151">
        <f t="shared" si="12"/>
        <v>149</v>
      </c>
      <c r="B151">
        <v>151</v>
      </c>
      <c r="C151" t="str">
        <f t="shared" si="10"/>
        <v>INCOMPLETA</v>
      </c>
      <c r="D151" t="str">
        <f t="shared" si="11"/>
        <v>QUANTIDADE_NEGATIVA; PRECO_VAZIA</v>
      </c>
      <c r="E151" t="s">
        <v>116</v>
      </c>
      <c r="F151" t="s">
        <v>33</v>
      </c>
      <c r="G151" t="s">
        <v>19</v>
      </c>
      <c r="H151">
        <v>-3</v>
      </c>
      <c r="J151" t="s">
        <v>49</v>
      </c>
    </row>
    <row r="152" spans="1:10" x14ac:dyDescent="0.25">
      <c r="A152">
        <f t="shared" si="12"/>
        <v>150</v>
      </c>
      <c r="B152">
        <v>152</v>
      </c>
      <c r="C152" t="str">
        <f t="shared" si="10"/>
        <v>INCOMPLETA</v>
      </c>
      <c r="D152" t="str">
        <f t="shared" si="11"/>
        <v>PRECO_VAZIA</v>
      </c>
      <c r="E152" t="s">
        <v>137</v>
      </c>
      <c r="F152" t="s">
        <v>12</v>
      </c>
      <c r="G152" t="s">
        <v>47</v>
      </c>
      <c r="H152">
        <v>10</v>
      </c>
      <c r="J152" t="s">
        <v>21</v>
      </c>
    </row>
    <row r="153" spans="1:10" x14ac:dyDescent="0.25">
      <c r="A153">
        <f t="shared" si="12"/>
        <v>151</v>
      </c>
      <c r="B153">
        <v>153</v>
      </c>
      <c r="C153" t="str">
        <f t="shared" si="10"/>
        <v>INCOMPLETA</v>
      </c>
      <c r="D153" t="str">
        <f t="shared" si="11"/>
        <v>PRECO_VAZIA; CLIENTE_VAZIA; PRODUTO_VAZIA</v>
      </c>
      <c r="E153" t="s">
        <v>130</v>
      </c>
      <c r="H153">
        <v>10</v>
      </c>
      <c r="J153" t="s">
        <v>13</v>
      </c>
    </row>
    <row r="154" spans="1:10" x14ac:dyDescent="0.25">
      <c r="A154">
        <f t="shared" si="12"/>
        <v>152</v>
      </c>
      <c r="B154">
        <v>154</v>
      </c>
      <c r="C154" t="str">
        <f t="shared" si="10"/>
        <v>INCOMPLETA</v>
      </c>
      <c r="D154" t="str">
        <f t="shared" si="11"/>
        <v>QUANTIDADE_VAZIA</v>
      </c>
      <c r="E154" t="s">
        <v>138</v>
      </c>
      <c r="F154" t="s">
        <v>26</v>
      </c>
      <c r="G154" t="s">
        <v>15</v>
      </c>
      <c r="I154">
        <v>382.51</v>
      </c>
      <c r="J154" t="s">
        <v>13</v>
      </c>
    </row>
    <row r="155" spans="1:10" x14ac:dyDescent="0.25">
      <c r="A155">
        <f t="shared" si="12"/>
        <v>153</v>
      </c>
      <c r="B155">
        <v>155</v>
      </c>
      <c r="C155" t="str">
        <f t="shared" si="10"/>
        <v>INCOMPLETA</v>
      </c>
      <c r="D155" t="str">
        <f t="shared" si="11"/>
        <v>QUANTIDADE_NEGATIVA; PRECO_TEXTO; CIDADE_VAZIA</v>
      </c>
      <c r="E155" t="s">
        <v>139</v>
      </c>
      <c r="F155" t="s">
        <v>33</v>
      </c>
      <c r="G155" t="s">
        <v>31</v>
      </c>
      <c r="H155">
        <v>-3</v>
      </c>
      <c r="I155" t="s">
        <v>35</v>
      </c>
    </row>
    <row r="156" spans="1:10" x14ac:dyDescent="0.25">
      <c r="A156">
        <f t="shared" si="12"/>
        <v>154</v>
      </c>
      <c r="B156">
        <v>156</v>
      </c>
      <c r="C156" t="str">
        <f t="shared" si="10"/>
        <v>COMPLETA</v>
      </c>
      <c r="D156" t="str">
        <f t="shared" si="11"/>
        <v/>
      </c>
      <c r="E156" t="s">
        <v>42</v>
      </c>
      <c r="F156" t="s">
        <v>12</v>
      </c>
      <c r="G156" t="s">
        <v>31</v>
      </c>
      <c r="H156">
        <v>10</v>
      </c>
      <c r="I156">
        <v>400.2</v>
      </c>
      <c r="J156" t="s">
        <v>17</v>
      </c>
    </row>
    <row r="157" spans="1:10" x14ac:dyDescent="0.25">
      <c r="A157">
        <f t="shared" si="12"/>
        <v>155</v>
      </c>
      <c r="B157">
        <v>157</v>
      </c>
      <c r="C157" t="str">
        <f t="shared" si="10"/>
        <v>COMPLETA</v>
      </c>
      <c r="D157" t="str">
        <f t="shared" si="11"/>
        <v>PRECO_TEXTO</v>
      </c>
      <c r="E157" t="s">
        <v>135</v>
      </c>
      <c r="F157" t="s">
        <v>33</v>
      </c>
      <c r="G157" t="s">
        <v>31</v>
      </c>
      <c r="H157">
        <v>2</v>
      </c>
      <c r="I157" t="s">
        <v>35</v>
      </c>
      <c r="J157" t="s">
        <v>21</v>
      </c>
    </row>
    <row r="158" spans="1:10" x14ac:dyDescent="0.25">
      <c r="A158">
        <f t="shared" si="12"/>
        <v>156</v>
      </c>
      <c r="B158">
        <v>158</v>
      </c>
      <c r="C158" t="str">
        <f t="shared" si="10"/>
        <v>INCOMPLETA</v>
      </c>
      <c r="D158" t="str">
        <f t="shared" si="11"/>
        <v>QUANTIDADE_NEGATIVA; CLIENTE_VAZIA; PRODUTO_VAZIA</v>
      </c>
      <c r="E158" t="s">
        <v>91</v>
      </c>
      <c r="H158">
        <v>-3</v>
      </c>
      <c r="I158">
        <v>294.36</v>
      </c>
      <c r="J158" t="s">
        <v>49</v>
      </c>
    </row>
    <row r="159" spans="1:10" x14ac:dyDescent="0.25">
      <c r="A159">
        <f t="shared" si="12"/>
        <v>157</v>
      </c>
      <c r="B159">
        <v>159</v>
      </c>
      <c r="C159" t="str">
        <f t="shared" si="10"/>
        <v>COMPLETA</v>
      </c>
      <c r="D159" t="str">
        <f t="shared" si="11"/>
        <v>QUANTIDADE_NEGATIVA</v>
      </c>
      <c r="E159" t="s">
        <v>45</v>
      </c>
      <c r="F159" t="s">
        <v>26</v>
      </c>
      <c r="G159" t="s">
        <v>19</v>
      </c>
      <c r="H159">
        <v>-3</v>
      </c>
      <c r="I159">
        <v>255.67</v>
      </c>
      <c r="J159" t="s">
        <v>49</v>
      </c>
    </row>
    <row r="160" spans="1:10" x14ac:dyDescent="0.25">
      <c r="A160">
        <f t="shared" si="12"/>
        <v>158</v>
      </c>
      <c r="B160">
        <v>160</v>
      </c>
      <c r="C160" t="str">
        <f t="shared" si="10"/>
        <v>INCOMPLETA</v>
      </c>
      <c r="D160" t="str">
        <f t="shared" si="11"/>
        <v>PRECO_NEGATIVO; PRODUTO_VAZIA</v>
      </c>
      <c r="E160" t="s">
        <v>140</v>
      </c>
      <c r="F160" t="s">
        <v>12</v>
      </c>
      <c r="H160">
        <v>6</v>
      </c>
      <c r="I160">
        <v>-10</v>
      </c>
      <c r="J160" t="s">
        <v>49</v>
      </c>
    </row>
    <row r="161" spans="1:10" x14ac:dyDescent="0.25">
      <c r="A161">
        <f t="shared" si="12"/>
        <v>159</v>
      </c>
      <c r="B161">
        <v>161</v>
      </c>
      <c r="C161" t="str">
        <f t="shared" si="10"/>
        <v>INCOMPLETA</v>
      </c>
      <c r="D161" t="str">
        <f t="shared" si="11"/>
        <v>PRECO_TEXTO; CIDADE_VAZIA</v>
      </c>
      <c r="E161" t="s">
        <v>141</v>
      </c>
      <c r="F161" t="s">
        <v>26</v>
      </c>
      <c r="G161" t="s">
        <v>19</v>
      </c>
      <c r="H161">
        <v>10</v>
      </c>
      <c r="I161" t="s">
        <v>35</v>
      </c>
    </row>
    <row r="162" spans="1:10" x14ac:dyDescent="0.25">
      <c r="A162">
        <f t="shared" si="12"/>
        <v>160</v>
      </c>
      <c r="B162">
        <v>162</v>
      </c>
      <c r="C162" t="str">
        <f t="shared" ref="C162:C193" si="13">IF(AND(B162&lt;&gt;"",E162&lt;&gt;"",F162&lt;&gt;"",G162&lt;&gt;"",H162&lt;&gt;"",I162&lt;&gt;"",J162&lt;&gt;""),"COMPLETA","INCOMPLETA")</f>
        <v>COMPLETA</v>
      </c>
      <c r="D162" t="str">
        <f t="shared" ref="D162:D193" si="14">_xlfn.TEXTJOIN("; ", TRUE,
  IF(H162="", "QUANTIDADE_VAZIA", ""),
  IF(AND(ISNUMBER(H162), H162&lt;0), "QUANTIDADE_NEGATIVA", ""),
  IF(I162="", "PRECO_VAZIA", ""),
  IF(AND(ISNUMBER(I162), I162&lt;0), "PRECO_NEGATIVO", ""),
  IF(AND(I162&lt;&gt;"", NOT(ISNUMBER(I162))), "PRECO_TEXTO", ""),
  IF(F162="", "CLIENTE_VAZIA", ""),
  IF(G162="", "PRODUTO_VAZIA", ""),
  IF(J162="", "CIDADE_VAZIA", ""),
  IF(E162="", "DATA_VAZIA", "")
)</f>
        <v>PRECO_NEGATIVO</v>
      </c>
      <c r="E162" t="s">
        <v>76</v>
      </c>
      <c r="F162" t="s">
        <v>8</v>
      </c>
      <c r="G162" t="s">
        <v>23</v>
      </c>
      <c r="H162">
        <v>11</v>
      </c>
      <c r="I162">
        <v>-10</v>
      </c>
      <c r="J162" t="s">
        <v>17</v>
      </c>
    </row>
    <row r="163" spans="1:10" x14ac:dyDescent="0.25">
      <c r="A163">
        <f t="shared" si="12"/>
        <v>161</v>
      </c>
      <c r="B163">
        <v>163</v>
      </c>
      <c r="C163" t="str">
        <f t="shared" si="13"/>
        <v>INCOMPLETA</v>
      </c>
      <c r="D163" t="str">
        <f t="shared" si="14"/>
        <v>PRECO_VAZIA; CLIENTE_VAZIA</v>
      </c>
      <c r="E163" t="s">
        <v>142</v>
      </c>
      <c r="G163" t="s">
        <v>15</v>
      </c>
      <c r="H163">
        <v>11</v>
      </c>
      <c r="J163" t="s">
        <v>17</v>
      </c>
    </row>
    <row r="164" spans="1:10" x14ac:dyDescent="0.25">
      <c r="A164">
        <f t="shared" si="12"/>
        <v>162</v>
      </c>
      <c r="B164">
        <v>164</v>
      </c>
      <c r="C164" t="str">
        <f t="shared" si="13"/>
        <v>INCOMPLETA</v>
      </c>
      <c r="D164" t="str">
        <f t="shared" si="14"/>
        <v>PRECO_NEGATIVO; CIDADE_VAZIA</v>
      </c>
      <c r="E164" t="s">
        <v>143</v>
      </c>
      <c r="F164" t="s">
        <v>33</v>
      </c>
      <c r="G164" t="s">
        <v>15</v>
      </c>
      <c r="H164">
        <v>20</v>
      </c>
      <c r="I164">
        <v>-10</v>
      </c>
    </row>
    <row r="165" spans="1:10" x14ac:dyDescent="0.25">
      <c r="A165">
        <f t="shared" si="12"/>
        <v>163</v>
      </c>
      <c r="B165">
        <v>165</v>
      </c>
      <c r="C165" t="str">
        <f t="shared" si="13"/>
        <v>INCOMPLETA</v>
      </c>
      <c r="D165" t="str">
        <f t="shared" si="14"/>
        <v>PRECO_TEXTO; CLIENTE_VAZIA</v>
      </c>
      <c r="E165" t="s">
        <v>127</v>
      </c>
      <c r="G165" t="s">
        <v>23</v>
      </c>
      <c r="H165">
        <v>10</v>
      </c>
      <c r="I165" t="s">
        <v>35</v>
      </c>
      <c r="J165" t="s">
        <v>13</v>
      </c>
    </row>
    <row r="166" spans="1:10" x14ac:dyDescent="0.25">
      <c r="A166">
        <f t="shared" si="12"/>
        <v>164</v>
      </c>
      <c r="B166">
        <v>165</v>
      </c>
      <c r="C166" t="str">
        <f t="shared" si="13"/>
        <v>COMPLETA</v>
      </c>
      <c r="D166" t="str">
        <f t="shared" si="14"/>
        <v>PRECO_TEXTO</v>
      </c>
      <c r="E166" t="s">
        <v>148</v>
      </c>
      <c r="F166" t="s">
        <v>8</v>
      </c>
      <c r="G166" t="s">
        <v>19</v>
      </c>
      <c r="H166">
        <v>10</v>
      </c>
      <c r="I166" t="s">
        <v>35</v>
      </c>
      <c r="J166" t="s">
        <v>49</v>
      </c>
    </row>
    <row r="167" spans="1:10" x14ac:dyDescent="0.25">
      <c r="A167">
        <f t="shared" si="12"/>
        <v>165</v>
      </c>
      <c r="B167">
        <v>166</v>
      </c>
      <c r="C167" t="str">
        <f t="shared" si="13"/>
        <v>INCOMPLETA</v>
      </c>
      <c r="D167" t="str">
        <f t="shared" si="14"/>
        <v>QUANTIDADE_VAZIA; PRECO_TEXTO</v>
      </c>
      <c r="E167" t="s">
        <v>140</v>
      </c>
      <c r="F167" t="s">
        <v>33</v>
      </c>
      <c r="G167" t="s">
        <v>9</v>
      </c>
      <c r="I167" t="s">
        <v>35</v>
      </c>
      <c r="J167" t="s">
        <v>21</v>
      </c>
    </row>
    <row r="168" spans="1:10" x14ac:dyDescent="0.25">
      <c r="A168">
        <f t="shared" si="12"/>
        <v>166</v>
      </c>
      <c r="B168" t="e" cm="1">
        <f t="array" ref="B168">sequencia_correta</f>
        <v>#NAME?</v>
      </c>
      <c r="C168" t="e">
        <f t="shared" si="13"/>
        <v>#NAME?</v>
      </c>
      <c r="D168" t="str">
        <f t="shared" si="14"/>
        <v>QUANTIDADE_VAZIA; PRECO_VAZIA; CLIENTE_VAZIA</v>
      </c>
      <c r="E168" t="s">
        <v>118</v>
      </c>
      <c r="G168" t="s">
        <v>37</v>
      </c>
      <c r="J168" t="s">
        <v>13</v>
      </c>
    </row>
    <row r="169" spans="1:10" x14ac:dyDescent="0.25">
      <c r="A169">
        <f t="shared" si="12"/>
        <v>167</v>
      </c>
      <c r="B169">
        <v>168</v>
      </c>
      <c r="C169" t="str">
        <f t="shared" si="13"/>
        <v>INCOMPLETA</v>
      </c>
      <c r="D169" t="str">
        <f t="shared" si="14"/>
        <v>PRECO_VAZIA; CLIENTE_VAZIA</v>
      </c>
      <c r="E169" t="s">
        <v>103</v>
      </c>
      <c r="G169" t="s">
        <v>15</v>
      </c>
      <c r="H169">
        <v>15</v>
      </c>
      <c r="J169" t="s">
        <v>49</v>
      </c>
    </row>
    <row r="170" spans="1:10" x14ac:dyDescent="0.25">
      <c r="A170">
        <f t="shared" si="12"/>
        <v>168</v>
      </c>
      <c r="B170">
        <v>169</v>
      </c>
      <c r="C170" t="str">
        <f t="shared" si="13"/>
        <v>INCOMPLETA</v>
      </c>
      <c r="D170" t="str">
        <f t="shared" si="14"/>
        <v>QUANTIDADE_VAZIA; PRECO_NEGATIVO</v>
      </c>
      <c r="E170" t="s">
        <v>77</v>
      </c>
      <c r="F170" t="s">
        <v>33</v>
      </c>
      <c r="G170" t="s">
        <v>9</v>
      </c>
      <c r="I170">
        <v>-10</v>
      </c>
      <c r="J170" t="s">
        <v>13</v>
      </c>
    </row>
    <row r="171" spans="1:10" x14ac:dyDescent="0.25">
      <c r="A171">
        <f t="shared" si="12"/>
        <v>169</v>
      </c>
      <c r="B171">
        <v>170</v>
      </c>
      <c r="C171" t="str">
        <f t="shared" si="13"/>
        <v>COMPLETA</v>
      </c>
      <c r="D171" t="str">
        <f t="shared" si="14"/>
        <v>QUANTIDADE_NEGATIVA; PRECO_NEGATIVO</v>
      </c>
      <c r="E171" t="s">
        <v>45</v>
      </c>
      <c r="F171" t="s">
        <v>33</v>
      </c>
      <c r="G171" t="s">
        <v>31</v>
      </c>
      <c r="H171">
        <v>-3</v>
      </c>
      <c r="I171">
        <v>-10</v>
      </c>
      <c r="J171" t="s">
        <v>13</v>
      </c>
    </row>
    <row r="172" spans="1:10" x14ac:dyDescent="0.25">
      <c r="A172">
        <f t="shared" si="12"/>
        <v>170</v>
      </c>
      <c r="B172">
        <v>171</v>
      </c>
      <c r="C172" t="str">
        <f t="shared" si="13"/>
        <v>INCOMPLETA</v>
      </c>
      <c r="D172" t="str">
        <f t="shared" si="14"/>
        <v>QUANTIDADE_NEGATIVA; CIDADE_VAZIA</v>
      </c>
      <c r="E172" t="s">
        <v>100</v>
      </c>
      <c r="F172" t="s">
        <v>26</v>
      </c>
      <c r="G172" t="s">
        <v>53</v>
      </c>
      <c r="H172">
        <v>-3</v>
      </c>
      <c r="I172">
        <v>438.32</v>
      </c>
    </row>
    <row r="173" spans="1:10" x14ac:dyDescent="0.25">
      <c r="A173">
        <f t="shared" si="12"/>
        <v>171</v>
      </c>
      <c r="B173">
        <v>172</v>
      </c>
      <c r="C173" t="str">
        <f t="shared" si="13"/>
        <v>INCOMPLETA</v>
      </c>
      <c r="D173" t="str">
        <f t="shared" si="14"/>
        <v>PRECO_VAZIA</v>
      </c>
      <c r="E173" t="s">
        <v>71</v>
      </c>
      <c r="F173" t="s">
        <v>8</v>
      </c>
      <c r="G173" t="s">
        <v>23</v>
      </c>
      <c r="H173">
        <v>10</v>
      </c>
      <c r="J173" t="s">
        <v>49</v>
      </c>
    </row>
    <row r="174" spans="1:10" x14ac:dyDescent="0.25">
      <c r="A174">
        <f t="shared" si="12"/>
        <v>172</v>
      </c>
      <c r="B174">
        <v>174</v>
      </c>
      <c r="C174" t="str">
        <f t="shared" si="13"/>
        <v>COMPLETA</v>
      </c>
      <c r="D174" t="str">
        <f t="shared" si="14"/>
        <v>PRECO_TEXTO</v>
      </c>
      <c r="E174" t="s">
        <v>144</v>
      </c>
      <c r="F174" t="s">
        <v>8</v>
      </c>
      <c r="G174" t="s">
        <v>9</v>
      </c>
      <c r="H174">
        <v>10</v>
      </c>
      <c r="I174" t="s">
        <v>35</v>
      </c>
      <c r="J174" t="s">
        <v>13</v>
      </c>
    </row>
    <row r="175" spans="1:10" x14ac:dyDescent="0.25">
      <c r="A175">
        <f t="shared" si="12"/>
        <v>173</v>
      </c>
      <c r="B175">
        <v>175</v>
      </c>
      <c r="C175" t="str">
        <f t="shared" si="13"/>
        <v>INCOMPLETA</v>
      </c>
      <c r="D175" t="str">
        <f t="shared" si="14"/>
        <v>QUANTIDADE_VAZIA; PRECO_TEXTO</v>
      </c>
      <c r="E175" t="s">
        <v>115</v>
      </c>
      <c r="F175" t="s">
        <v>12</v>
      </c>
      <c r="G175" t="s">
        <v>31</v>
      </c>
      <c r="I175" t="s">
        <v>35</v>
      </c>
      <c r="J175" t="s">
        <v>13</v>
      </c>
    </row>
    <row r="176" spans="1:10" x14ac:dyDescent="0.25">
      <c r="A176">
        <f t="shared" si="12"/>
        <v>174</v>
      </c>
      <c r="B176">
        <v>175</v>
      </c>
      <c r="C176" t="str">
        <f t="shared" si="13"/>
        <v>INCOMPLETA</v>
      </c>
      <c r="D176" t="str">
        <f t="shared" si="14"/>
        <v>QUANTIDADE_NEGATIVA; CLIENTE_VAZIA</v>
      </c>
      <c r="E176" t="s">
        <v>123</v>
      </c>
      <c r="G176" t="s">
        <v>19</v>
      </c>
      <c r="H176">
        <v>-3</v>
      </c>
      <c r="I176">
        <v>145.18</v>
      </c>
      <c r="J176" t="s">
        <v>49</v>
      </c>
    </row>
    <row r="177" spans="1:10" x14ac:dyDescent="0.25">
      <c r="A177">
        <f t="shared" si="12"/>
        <v>175</v>
      </c>
      <c r="B177">
        <v>175</v>
      </c>
      <c r="C177" t="str">
        <f t="shared" si="13"/>
        <v>COMPLETA</v>
      </c>
      <c r="D177" t="str">
        <f t="shared" si="14"/>
        <v>QUANTIDADE_NEGATIVA</v>
      </c>
      <c r="E177" t="s">
        <v>111</v>
      </c>
      <c r="F177" t="s">
        <v>33</v>
      </c>
      <c r="G177" t="s">
        <v>15</v>
      </c>
      <c r="H177">
        <v>-3</v>
      </c>
      <c r="I177">
        <v>311.52</v>
      </c>
      <c r="J177" t="s">
        <v>21</v>
      </c>
    </row>
    <row r="178" spans="1:10" x14ac:dyDescent="0.25">
      <c r="A178">
        <f t="shared" si="12"/>
        <v>176</v>
      </c>
      <c r="B178">
        <v>176</v>
      </c>
      <c r="C178" t="str">
        <f t="shared" si="13"/>
        <v>INCOMPLETA</v>
      </c>
      <c r="D178" t="str">
        <f t="shared" si="14"/>
        <v>PRECO_VAZIA; CLIENTE_VAZIA; PRODUTO_VAZIA</v>
      </c>
      <c r="E178" t="s">
        <v>145</v>
      </c>
      <c r="H178">
        <v>14</v>
      </c>
      <c r="J178" t="s">
        <v>17</v>
      </c>
    </row>
    <row r="179" spans="1:10" x14ac:dyDescent="0.25">
      <c r="A179">
        <f t="shared" si="12"/>
        <v>177</v>
      </c>
      <c r="B179">
        <v>177</v>
      </c>
      <c r="C179" t="str">
        <f t="shared" si="13"/>
        <v>COMPLETA</v>
      </c>
      <c r="D179" t="str">
        <f t="shared" si="14"/>
        <v>PRECO_NEGATIVO</v>
      </c>
      <c r="E179" t="s">
        <v>109</v>
      </c>
      <c r="F179" t="s">
        <v>33</v>
      </c>
      <c r="G179" t="s">
        <v>31</v>
      </c>
      <c r="H179">
        <v>3</v>
      </c>
      <c r="I179">
        <v>-10</v>
      </c>
      <c r="J179" t="s">
        <v>10</v>
      </c>
    </row>
    <row r="180" spans="1:10" x14ac:dyDescent="0.25">
      <c r="A180">
        <f t="shared" si="12"/>
        <v>178</v>
      </c>
      <c r="B180">
        <v>178</v>
      </c>
      <c r="C180" t="str">
        <f t="shared" si="13"/>
        <v>INCOMPLETA</v>
      </c>
      <c r="D180" t="str">
        <f t="shared" si="14"/>
        <v>PRECO_TEXTO; CLIENTE_VAZIA</v>
      </c>
      <c r="E180" t="s">
        <v>76</v>
      </c>
      <c r="G180" t="s">
        <v>9</v>
      </c>
      <c r="H180">
        <v>10</v>
      </c>
      <c r="I180" t="s">
        <v>35</v>
      </c>
      <c r="J180" t="s">
        <v>13</v>
      </c>
    </row>
    <row r="181" spans="1:10" x14ac:dyDescent="0.25">
      <c r="A181">
        <f t="shared" si="12"/>
        <v>179</v>
      </c>
      <c r="B181">
        <v>179</v>
      </c>
      <c r="C181" t="str">
        <f t="shared" si="13"/>
        <v>INCOMPLETA</v>
      </c>
      <c r="D181" t="str">
        <f t="shared" si="14"/>
        <v>PRODUTO_VAZIA</v>
      </c>
      <c r="E181" t="s">
        <v>146</v>
      </c>
      <c r="F181" t="s">
        <v>12</v>
      </c>
      <c r="H181">
        <v>12</v>
      </c>
      <c r="I181">
        <v>477.17</v>
      </c>
      <c r="J181" t="s">
        <v>49</v>
      </c>
    </row>
    <row r="182" spans="1:10" x14ac:dyDescent="0.25">
      <c r="A182">
        <f t="shared" si="12"/>
        <v>180</v>
      </c>
      <c r="B182">
        <v>180</v>
      </c>
      <c r="C182" t="str">
        <f t="shared" si="13"/>
        <v>COMPLETA</v>
      </c>
      <c r="D182" t="str">
        <f t="shared" si="14"/>
        <v/>
      </c>
      <c r="E182" t="s">
        <v>147</v>
      </c>
      <c r="F182" t="s">
        <v>33</v>
      </c>
      <c r="G182" t="s">
        <v>19</v>
      </c>
      <c r="H182">
        <v>9</v>
      </c>
      <c r="I182">
        <v>184.98</v>
      </c>
      <c r="J182" t="s">
        <v>17</v>
      </c>
    </row>
    <row r="183" spans="1:10" x14ac:dyDescent="0.25">
      <c r="A183">
        <f t="shared" si="12"/>
        <v>181</v>
      </c>
      <c r="B183">
        <v>181</v>
      </c>
      <c r="C183" t="str">
        <f t="shared" si="13"/>
        <v>INCOMPLETA</v>
      </c>
      <c r="D183" t="str">
        <f t="shared" si="14"/>
        <v>PRECO_TEXTO; CIDADE_VAZIA</v>
      </c>
      <c r="E183" t="s">
        <v>142</v>
      </c>
      <c r="F183" t="s">
        <v>12</v>
      </c>
      <c r="G183" t="s">
        <v>19</v>
      </c>
      <c r="H183">
        <v>5</v>
      </c>
      <c r="I183" t="s">
        <v>35</v>
      </c>
    </row>
    <row r="184" spans="1:10" x14ac:dyDescent="0.25">
      <c r="A184">
        <f t="shared" si="12"/>
        <v>182</v>
      </c>
      <c r="B184">
        <v>182</v>
      </c>
      <c r="C184" t="str">
        <f t="shared" si="13"/>
        <v>INCOMPLETA</v>
      </c>
      <c r="D184" t="str">
        <f t="shared" si="14"/>
        <v>QUANTIDADE_VAZIA; PRECO_NEGATIVO</v>
      </c>
      <c r="E184" t="s">
        <v>115</v>
      </c>
      <c r="F184" t="s">
        <v>33</v>
      </c>
      <c r="G184" t="s">
        <v>31</v>
      </c>
      <c r="I184">
        <v>-10</v>
      </c>
      <c r="J184" t="s">
        <v>21</v>
      </c>
    </row>
    <row r="185" spans="1:10" x14ac:dyDescent="0.25">
      <c r="A185">
        <f t="shared" si="12"/>
        <v>183</v>
      </c>
      <c r="B185">
        <v>183</v>
      </c>
      <c r="C185" t="str">
        <f t="shared" si="13"/>
        <v>COMPLETA</v>
      </c>
      <c r="D185" t="str">
        <f t="shared" si="14"/>
        <v>PRECO_NEGATIVO</v>
      </c>
      <c r="E185" t="s">
        <v>147</v>
      </c>
      <c r="F185" t="s">
        <v>26</v>
      </c>
      <c r="G185" t="s">
        <v>37</v>
      </c>
      <c r="H185">
        <v>10</v>
      </c>
      <c r="I185">
        <v>-10</v>
      </c>
      <c r="J185" t="s">
        <v>17</v>
      </c>
    </row>
    <row r="186" spans="1:10" x14ac:dyDescent="0.25">
      <c r="A186">
        <f t="shared" si="12"/>
        <v>184</v>
      </c>
      <c r="B186">
        <v>185</v>
      </c>
      <c r="C186" t="str">
        <f t="shared" si="13"/>
        <v>INCOMPLETA</v>
      </c>
      <c r="D186" t="str">
        <f t="shared" si="14"/>
        <v>QUANTIDADE_VAZIA; PRECO_NEGATIVO</v>
      </c>
      <c r="E186" t="s">
        <v>149</v>
      </c>
      <c r="F186" t="s">
        <v>33</v>
      </c>
      <c r="G186" t="s">
        <v>47</v>
      </c>
      <c r="I186">
        <v>-10</v>
      </c>
      <c r="J186" t="s">
        <v>17</v>
      </c>
    </row>
    <row r="187" spans="1:10" x14ac:dyDescent="0.25">
      <c r="A187">
        <f t="shared" si="12"/>
        <v>185</v>
      </c>
      <c r="B187">
        <v>186</v>
      </c>
      <c r="C187" t="str">
        <f t="shared" si="13"/>
        <v>INCOMPLETA</v>
      </c>
      <c r="D187" t="str">
        <f t="shared" si="14"/>
        <v>PRECO_VAZIA</v>
      </c>
      <c r="E187" t="s">
        <v>150</v>
      </c>
      <c r="F187" t="s">
        <v>8</v>
      </c>
      <c r="G187" t="s">
        <v>23</v>
      </c>
      <c r="H187">
        <v>14</v>
      </c>
      <c r="J187" t="s">
        <v>10</v>
      </c>
    </row>
    <row r="188" spans="1:10" x14ac:dyDescent="0.25">
      <c r="A188">
        <f t="shared" si="12"/>
        <v>186</v>
      </c>
      <c r="B188">
        <v>187</v>
      </c>
      <c r="C188" t="str">
        <f t="shared" si="13"/>
        <v>COMPLETA</v>
      </c>
      <c r="D188" t="str">
        <f t="shared" si="14"/>
        <v>PRECO_NEGATIVO</v>
      </c>
      <c r="E188" t="s">
        <v>151</v>
      </c>
      <c r="F188" t="s">
        <v>12</v>
      </c>
      <c r="G188" t="s">
        <v>19</v>
      </c>
      <c r="H188">
        <v>10</v>
      </c>
      <c r="I188">
        <v>-10</v>
      </c>
      <c r="J188" t="s">
        <v>13</v>
      </c>
    </row>
    <row r="189" spans="1:10" x14ac:dyDescent="0.25">
      <c r="A189">
        <f t="shared" si="12"/>
        <v>187</v>
      </c>
      <c r="B189">
        <v>188</v>
      </c>
      <c r="C189" t="str">
        <f t="shared" si="13"/>
        <v>INCOMPLETA</v>
      </c>
      <c r="D189" t="str">
        <f t="shared" si="14"/>
        <v>QUANTIDADE_VAZIA</v>
      </c>
      <c r="E189" t="s">
        <v>66</v>
      </c>
      <c r="F189" t="s">
        <v>33</v>
      </c>
      <c r="G189" t="s">
        <v>9</v>
      </c>
      <c r="I189">
        <v>395.81</v>
      </c>
      <c r="J189" t="s">
        <v>49</v>
      </c>
    </row>
    <row r="190" spans="1:10" x14ac:dyDescent="0.25">
      <c r="A190">
        <f t="shared" si="12"/>
        <v>188</v>
      </c>
      <c r="B190">
        <v>188</v>
      </c>
      <c r="C190" t="str">
        <f t="shared" si="13"/>
        <v>COMPLETA</v>
      </c>
      <c r="D190" t="str">
        <f t="shared" si="14"/>
        <v>QUANTIDADE_NEGATIVA</v>
      </c>
      <c r="E190" t="s">
        <v>152</v>
      </c>
      <c r="F190" t="s">
        <v>33</v>
      </c>
      <c r="G190" t="s">
        <v>37</v>
      </c>
      <c r="H190">
        <v>-3</v>
      </c>
      <c r="I190">
        <v>144.53</v>
      </c>
      <c r="J190" t="s">
        <v>21</v>
      </c>
    </row>
    <row r="191" spans="1:10" x14ac:dyDescent="0.25">
      <c r="A191">
        <f t="shared" si="12"/>
        <v>189</v>
      </c>
      <c r="B191">
        <v>189</v>
      </c>
      <c r="C191" t="str">
        <f t="shared" si="13"/>
        <v>INCOMPLETA</v>
      </c>
      <c r="D191" t="str">
        <f t="shared" si="14"/>
        <v>PRECO_NEGATIVO; PRODUTO_VAZIA</v>
      </c>
      <c r="E191" t="s">
        <v>56</v>
      </c>
      <c r="F191" t="s">
        <v>8</v>
      </c>
      <c r="H191">
        <v>6</v>
      </c>
      <c r="I191">
        <v>-10</v>
      </c>
      <c r="J191" t="s">
        <v>21</v>
      </c>
    </row>
    <row r="192" spans="1:10" x14ac:dyDescent="0.25">
      <c r="A192">
        <f t="shared" si="12"/>
        <v>190</v>
      </c>
      <c r="B192">
        <v>190</v>
      </c>
      <c r="C192" t="str">
        <f t="shared" si="13"/>
        <v>COMPLETA</v>
      </c>
      <c r="D192" t="str">
        <f t="shared" si="14"/>
        <v>PRECO_NEGATIVO</v>
      </c>
      <c r="E192" t="s">
        <v>51</v>
      </c>
      <c r="F192" t="s">
        <v>8</v>
      </c>
      <c r="G192" t="s">
        <v>19</v>
      </c>
      <c r="H192">
        <v>13</v>
      </c>
      <c r="I192">
        <v>-10</v>
      </c>
      <c r="J192" t="s">
        <v>17</v>
      </c>
    </row>
    <row r="193" spans="1:10" x14ac:dyDescent="0.25">
      <c r="A193">
        <f t="shared" si="12"/>
        <v>191</v>
      </c>
      <c r="B193">
        <v>191</v>
      </c>
      <c r="C193" t="str">
        <f t="shared" si="13"/>
        <v>COMPLETA</v>
      </c>
      <c r="D193" t="str">
        <f t="shared" si="14"/>
        <v>PRECO_TEXTO</v>
      </c>
      <c r="E193" t="s">
        <v>125</v>
      </c>
      <c r="F193" t="s">
        <v>12</v>
      </c>
      <c r="G193" t="s">
        <v>15</v>
      </c>
      <c r="H193">
        <v>10</v>
      </c>
      <c r="I193" t="s">
        <v>35</v>
      </c>
      <c r="J193" t="s">
        <v>13</v>
      </c>
    </row>
    <row r="194" spans="1:10" x14ac:dyDescent="0.25">
      <c r="A194">
        <f t="shared" si="12"/>
        <v>192</v>
      </c>
      <c r="B194">
        <v>192</v>
      </c>
      <c r="C194" t="str">
        <f t="shared" ref="C194:C225" si="15">IF(AND(B194&lt;&gt;"",E194&lt;&gt;"",F194&lt;&gt;"",G194&lt;&gt;"",H194&lt;&gt;"",I194&lt;&gt;"",J194&lt;&gt;""),"COMPLETA","INCOMPLETA")</f>
        <v>COMPLETA</v>
      </c>
      <c r="D194" t="str">
        <f t="shared" ref="D194:D200" si="16">_xlfn.TEXTJOIN("; ", TRUE,
  IF(H194="", "QUANTIDADE_VAZIA", ""),
  IF(AND(ISNUMBER(H194), H194&lt;0), "QUANTIDADE_NEGATIVA", ""),
  IF(I194="", "PRECO_VAZIA", ""),
  IF(AND(ISNUMBER(I194), I194&lt;0), "PRECO_NEGATIVO", ""),
  IF(AND(I194&lt;&gt;"", NOT(ISNUMBER(I194))), "PRECO_TEXTO", ""),
  IF(F194="", "CLIENTE_VAZIA", ""),
  IF(G194="", "PRODUTO_VAZIA", ""),
  IF(J194="", "CIDADE_VAZIA", ""),
  IF(E194="", "DATA_VAZIA", "")
)</f>
        <v>QUANTIDADE_NEGATIVA</v>
      </c>
      <c r="E194" t="s">
        <v>7</v>
      </c>
      <c r="F194" t="s">
        <v>26</v>
      </c>
      <c r="G194" t="s">
        <v>31</v>
      </c>
      <c r="H194">
        <v>-3</v>
      </c>
      <c r="I194">
        <v>457.64</v>
      </c>
      <c r="J194" t="s">
        <v>17</v>
      </c>
    </row>
    <row r="195" spans="1:10" x14ac:dyDescent="0.25">
      <c r="A195">
        <f t="shared" ref="A195:A201" si="17">ROW() -2</f>
        <v>193</v>
      </c>
      <c r="B195">
        <v>193</v>
      </c>
      <c r="C195" t="str">
        <f t="shared" si="15"/>
        <v>COMPLETA</v>
      </c>
      <c r="D195" t="str">
        <f t="shared" si="16"/>
        <v>PRECO_NEGATIVO</v>
      </c>
      <c r="E195" t="s">
        <v>79</v>
      </c>
      <c r="F195" t="s">
        <v>33</v>
      </c>
      <c r="G195" t="s">
        <v>9</v>
      </c>
      <c r="H195">
        <v>10</v>
      </c>
      <c r="I195">
        <v>-10</v>
      </c>
      <c r="J195" t="s">
        <v>13</v>
      </c>
    </row>
    <row r="196" spans="1:10" x14ac:dyDescent="0.25">
      <c r="A196">
        <f t="shared" si="17"/>
        <v>194</v>
      </c>
      <c r="B196">
        <v>194</v>
      </c>
      <c r="C196" t="str">
        <f t="shared" si="15"/>
        <v>INCOMPLETA</v>
      </c>
      <c r="D196" t="str">
        <f t="shared" si="16"/>
        <v>PRECO_TEXTO; CIDADE_VAZIA</v>
      </c>
      <c r="E196" t="s">
        <v>98</v>
      </c>
      <c r="F196" t="s">
        <v>33</v>
      </c>
      <c r="G196" t="s">
        <v>15</v>
      </c>
      <c r="H196">
        <v>15</v>
      </c>
      <c r="I196" t="s">
        <v>35</v>
      </c>
    </row>
    <row r="197" spans="1:10" x14ac:dyDescent="0.25">
      <c r="A197">
        <f t="shared" si="17"/>
        <v>195</v>
      </c>
      <c r="B197">
        <v>195</v>
      </c>
      <c r="C197" t="str">
        <f t="shared" si="15"/>
        <v>INCOMPLETA</v>
      </c>
      <c r="D197" t="str">
        <f t="shared" si="16"/>
        <v>PRECO_VAZIA; CLIENTE_VAZIA; PRODUTO_VAZIA</v>
      </c>
      <c r="E197" t="s">
        <v>153</v>
      </c>
      <c r="H197">
        <v>10</v>
      </c>
      <c r="J197" t="s">
        <v>17</v>
      </c>
    </row>
    <row r="198" spans="1:10" x14ac:dyDescent="0.25">
      <c r="A198">
        <f t="shared" si="17"/>
        <v>196</v>
      </c>
      <c r="B198">
        <v>196</v>
      </c>
      <c r="C198" t="str">
        <f t="shared" si="15"/>
        <v>COMPLETA</v>
      </c>
      <c r="D198" t="str">
        <f t="shared" si="16"/>
        <v>QUANTIDADE_NEGATIVA; PRECO_TEXTO</v>
      </c>
      <c r="E198" t="s">
        <v>71</v>
      </c>
      <c r="F198" t="s">
        <v>26</v>
      </c>
      <c r="G198" t="s">
        <v>15</v>
      </c>
      <c r="H198">
        <v>-3</v>
      </c>
      <c r="I198" t="s">
        <v>35</v>
      </c>
      <c r="J198" t="s">
        <v>49</v>
      </c>
    </row>
    <row r="199" spans="1:10" x14ac:dyDescent="0.25">
      <c r="A199">
        <f t="shared" si="17"/>
        <v>197</v>
      </c>
      <c r="B199">
        <v>197</v>
      </c>
      <c r="C199" t="str">
        <f t="shared" si="15"/>
        <v>COMPLETA</v>
      </c>
      <c r="D199" t="str">
        <f t="shared" si="16"/>
        <v>PRECO_NEGATIVO</v>
      </c>
      <c r="E199" t="s">
        <v>34</v>
      </c>
      <c r="F199" t="s">
        <v>26</v>
      </c>
      <c r="G199" t="s">
        <v>23</v>
      </c>
      <c r="H199">
        <v>10</v>
      </c>
      <c r="I199">
        <v>-10</v>
      </c>
      <c r="J199" t="s">
        <v>10</v>
      </c>
    </row>
    <row r="200" spans="1:10" x14ac:dyDescent="0.25">
      <c r="A200">
        <f t="shared" si="17"/>
        <v>198</v>
      </c>
      <c r="B200">
        <v>198</v>
      </c>
      <c r="C200" t="str">
        <f t="shared" si="15"/>
        <v>INCOMPLETA</v>
      </c>
      <c r="D200" t="str">
        <f t="shared" si="16"/>
        <v>PRECO_NEGATIVO; CLIENTE_VAZIA</v>
      </c>
      <c r="E200" t="s">
        <v>65</v>
      </c>
      <c r="G200" t="s">
        <v>23</v>
      </c>
      <c r="H200">
        <v>10</v>
      </c>
      <c r="I200">
        <v>-10</v>
      </c>
      <c r="J200" t="s">
        <v>49</v>
      </c>
    </row>
    <row r="201" spans="1:10" x14ac:dyDescent="0.25">
      <c r="A201">
        <f t="shared" si="17"/>
        <v>199</v>
      </c>
      <c r="B201">
        <v>199</v>
      </c>
      <c r="C201" t="str">
        <f t="shared" si="15"/>
        <v>INCOMPLETA</v>
      </c>
      <c r="D201" t="str">
        <f>_xlfn.TEXTJOIN("; ", TRUE,
  IF(H201="", "QUANTIDADE_VAZIA", ""),
  IF(AND(ISNUMBER(H201), H201&lt;0), "QUANTIDADE_NEGATIVA", ""),
  IF(I201="", "PRECO_VAZIA", ""),
  IF(AND(ISNUMBER(I201), I201&lt;0), "PRECO_NEGATIVO", ""),
  IF(AND(I201&lt;&gt;"", NOT(ISNUMBER(I201))), "PRECO_TEXTO", ""),
  IF(F201="", "CLIENTE_VAZIA", ""),
  IF(G201="", "PRODUTO_VAZIA", ""),
  IF(J201="", "CIDADE_VAZIA", ""),
  IF(E201="", "DATA_VAZIA", "")
)</f>
        <v>QUANTIDADE_VAZIA; PRECO_VAZIA; PRODUTO_VAZIA</v>
      </c>
      <c r="E201" t="s">
        <v>92</v>
      </c>
      <c r="F201" t="s">
        <v>26</v>
      </c>
      <c r="J201" t="s">
        <v>49</v>
      </c>
    </row>
  </sheetData>
  <conditionalFormatting sqref="B1:B201">
    <cfRule type="duplicateValues" dxfId="5" priority="1"/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A12E8-72B9-4D93-838E-30E77A32B70D}">
  <dimension ref="A1:AA201"/>
  <sheetViews>
    <sheetView workbookViewId="0">
      <selection activeCell="B1" sqref="B1"/>
    </sheetView>
  </sheetViews>
  <sheetFormatPr defaultRowHeight="15" x14ac:dyDescent="0.25"/>
  <cols>
    <col min="1" max="1" width="20.28515625" bestFit="1" customWidth="1"/>
    <col min="2" max="2" width="10.42578125" bestFit="1" customWidth="1"/>
    <col min="3" max="3" width="14.85546875" bestFit="1" customWidth="1"/>
    <col min="4" max="4" width="14.85546875" customWidth="1"/>
    <col min="5" max="5" width="16.42578125" bestFit="1" customWidth="1"/>
    <col min="6" max="6" width="36.28515625" customWidth="1"/>
    <col min="7" max="7" width="14.42578125" bestFit="1" customWidth="1"/>
    <col min="8" max="8" width="16" bestFit="1" customWidth="1"/>
    <col min="9" max="9" width="16.42578125" customWidth="1"/>
    <col min="10" max="10" width="19.28515625" bestFit="1" customWidth="1"/>
    <col min="11" max="11" width="18.140625" customWidth="1"/>
    <col min="12" max="12" width="10.5703125" bestFit="1" customWidth="1"/>
    <col min="13" max="13" width="16" customWidth="1"/>
    <col min="27" max="27" width="15" bestFit="1" customWidth="1"/>
  </cols>
  <sheetData>
    <row r="1" spans="1:27" x14ac:dyDescent="0.25">
      <c r="A1" t="s">
        <v>154</v>
      </c>
      <c r="B1" t="s">
        <v>0</v>
      </c>
      <c r="C1" t="s">
        <v>160</v>
      </c>
      <c r="D1" t="s">
        <v>159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158</v>
      </c>
      <c r="K1" t="s">
        <v>6</v>
      </c>
      <c r="AA1" t="s">
        <v>159</v>
      </c>
    </row>
    <row r="2" spans="1:27" x14ac:dyDescent="0.25">
      <c r="A2">
        <f>ROW() -2</f>
        <v>0</v>
      </c>
      <c r="B2">
        <v>0</v>
      </c>
      <c r="C2" t="str">
        <f t="shared" ref="C2:C33" si="0">IF(AND(B2&lt;&gt;"",E2&lt;&gt;"",F2&lt;&gt;"",G2&lt;&gt;"",H2&lt;&gt;"",J2&lt;&gt;"",K2&lt;&gt;""),"COMPLETA","INCOMPLETA")</f>
        <v>INCOMPLETA</v>
      </c>
      <c r="D2" t="str">
        <f t="shared" ref="D2:D33" si="1">IF(AND(C2="COMPLETA", ISNUMBER(H2), H2&gt;0, ISNUMBER(J2), J2&gt;0), "OK", "ERRO")</f>
        <v>ERRO</v>
      </c>
      <c r="E2" s="1" t="s">
        <v>7</v>
      </c>
      <c r="F2" t="s">
        <v>8</v>
      </c>
      <c r="G2" t="s">
        <v>9</v>
      </c>
      <c r="I2" s="2">
        <v>370.87</v>
      </c>
      <c r="J2" s="3">
        <f t="shared" ref="J2:J33" si="2">IF(I2&gt;0, I2, "")</f>
        <v>370.87</v>
      </c>
      <c r="K2" t="s">
        <v>10</v>
      </c>
      <c r="AA2" t="s">
        <v>161</v>
      </c>
    </row>
    <row r="3" spans="1:27" x14ac:dyDescent="0.25">
      <c r="A3">
        <f t="shared" ref="A3:A66" si="3">ROW() -2</f>
        <v>1</v>
      </c>
      <c r="B3">
        <v>1</v>
      </c>
      <c r="C3" t="str">
        <f t="shared" si="0"/>
        <v>INCOMPLETA</v>
      </c>
      <c r="D3" t="str">
        <f t="shared" si="1"/>
        <v>ERRO</v>
      </c>
      <c r="E3" s="1" t="s">
        <v>11</v>
      </c>
      <c r="F3" t="s">
        <v>12</v>
      </c>
      <c r="G3" t="s">
        <v>9</v>
      </c>
      <c r="H3">
        <v>8</v>
      </c>
      <c r="I3" s="2">
        <v>-10</v>
      </c>
      <c r="J3" s="3" t="str">
        <f t="shared" si="2"/>
        <v/>
      </c>
      <c r="K3" t="s">
        <v>13</v>
      </c>
    </row>
    <row r="4" spans="1:27" x14ac:dyDescent="0.25">
      <c r="A4">
        <f t="shared" si="3"/>
        <v>2</v>
      </c>
      <c r="B4">
        <v>2</v>
      </c>
      <c r="C4" t="str">
        <f t="shared" si="0"/>
        <v>INCOMPLETA</v>
      </c>
      <c r="D4" t="str">
        <f t="shared" si="1"/>
        <v>ERRO</v>
      </c>
      <c r="E4" s="1" t="s">
        <v>14</v>
      </c>
      <c r="F4" t="s">
        <v>12</v>
      </c>
      <c r="G4" t="s">
        <v>15</v>
      </c>
      <c r="H4">
        <v>10</v>
      </c>
      <c r="I4" s="2"/>
      <c r="J4" s="3" t="str">
        <f t="shared" si="2"/>
        <v/>
      </c>
      <c r="K4" t="s">
        <v>17</v>
      </c>
    </row>
    <row r="5" spans="1:27" x14ac:dyDescent="0.25">
      <c r="A5">
        <f t="shared" si="3"/>
        <v>3</v>
      </c>
      <c r="B5">
        <v>3</v>
      </c>
      <c r="C5" t="str">
        <f t="shared" si="0"/>
        <v>INCOMPLETA</v>
      </c>
      <c r="D5" t="str">
        <f t="shared" si="1"/>
        <v>ERRO</v>
      </c>
      <c r="E5" s="1" t="s">
        <v>18</v>
      </c>
      <c r="F5" t="s">
        <v>12</v>
      </c>
      <c r="G5" t="s">
        <v>19</v>
      </c>
      <c r="H5">
        <v>10</v>
      </c>
      <c r="I5" s="2">
        <v>-10</v>
      </c>
      <c r="J5" s="3" t="str">
        <f t="shared" si="2"/>
        <v/>
      </c>
      <c r="K5" t="s">
        <v>10</v>
      </c>
    </row>
    <row r="6" spans="1:27" x14ac:dyDescent="0.25">
      <c r="A6">
        <f t="shared" si="3"/>
        <v>4</v>
      </c>
      <c r="B6">
        <v>4</v>
      </c>
      <c r="C6" t="str">
        <f t="shared" si="0"/>
        <v>INCOMPLETA</v>
      </c>
      <c r="D6" t="str">
        <f t="shared" si="1"/>
        <v>ERRO</v>
      </c>
      <c r="E6" s="1" t="s">
        <v>20</v>
      </c>
      <c r="F6" t="s">
        <v>12</v>
      </c>
      <c r="H6">
        <v>10</v>
      </c>
      <c r="I6" s="2">
        <v>292.89999999999998</v>
      </c>
      <c r="J6" s="3">
        <f t="shared" si="2"/>
        <v>292.89999999999998</v>
      </c>
      <c r="K6" t="s">
        <v>21</v>
      </c>
    </row>
    <row r="7" spans="1:27" x14ac:dyDescent="0.25">
      <c r="A7">
        <f t="shared" si="3"/>
        <v>5</v>
      </c>
      <c r="B7">
        <v>5</v>
      </c>
      <c r="C7" t="str">
        <f t="shared" si="0"/>
        <v>INCOMPLETA</v>
      </c>
      <c r="D7" t="str">
        <f t="shared" si="1"/>
        <v>ERRO</v>
      </c>
      <c r="E7" s="1" t="s">
        <v>22</v>
      </c>
      <c r="F7" t="s">
        <v>8</v>
      </c>
      <c r="G7" t="s">
        <v>23</v>
      </c>
      <c r="H7">
        <v>8</v>
      </c>
      <c r="I7" s="2">
        <v>-10</v>
      </c>
      <c r="J7" s="3" t="str">
        <f t="shared" si="2"/>
        <v/>
      </c>
    </row>
    <row r="8" spans="1:27" x14ac:dyDescent="0.25">
      <c r="A8">
        <f t="shared" si="3"/>
        <v>6</v>
      </c>
      <c r="B8">
        <v>6</v>
      </c>
      <c r="C8" t="str">
        <f t="shared" si="0"/>
        <v>COMPLETA</v>
      </c>
      <c r="D8" t="str">
        <f t="shared" si="1"/>
        <v>OK</v>
      </c>
      <c r="E8" t="s">
        <v>24</v>
      </c>
      <c r="F8" t="s">
        <v>8</v>
      </c>
      <c r="G8" t="s">
        <v>19</v>
      </c>
      <c r="H8">
        <v>10</v>
      </c>
      <c r="I8">
        <v>353.89</v>
      </c>
      <c r="J8" s="3">
        <f t="shared" si="2"/>
        <v>353.89</v>
      </c>
      <c r="K8" t="s">
        <v>10</v>
      </c>
    </row>
    <row r="9" spans="1:27" x14ac:dyDescent="0.25">
      <c r="A9">
        <f t="shared" si="3"/>
        <v>7</v>
      </c>
      <c r="B9">
        <v>7</v>
      </c>
      <c r="C9" t="str">
        <f t="shared" si="0"/>
        <v>INCOMPLETA</v>
      </c>
      <c r="D9" t="str">
        <f t="shared" si="1"/>
        <v>ERRO</v>
      </c>
      <c r="E9" s="1" t="s">
        <v>25</v>
      </c>
      <c r="F9" t="s">
        <v>26</v>
      </c>
      <c r="G9" t="s">
        <v>15</v>
      </c>
      <c r="H9">
        <v>-3</v>
      </c>
      <c r="I9" s="2"/>
      <c r="J9" s="3" t="str">
        <f t="shared" si="2"/>
        <v/>
      </c>
    </row>
    <row r="10" spans="1:27" x14ac:dyDescent="0.25">
      <c r="A10">
        <f t="shared" si="3"/>
        <v>8</v>
      </c>
      <c r="B10">
        <v>8</v>
      </c>
      <c r="C10" t="str">
        <f t="shared" si="0"/>
        <v>COMPLETA</v>
      </c>
      <c r="D10" t="str">
        <f t="shared" si="1"/>
        <v>OK</v>
      </c>
      <c r="E10" t="s">
        <v>27</v>
      </c>
      <c r="F10" t="s">
        <v>12</v>
      </c>
      <c r="G10" t="s">
        <v>9</v>
      </c>
      <c r="H10">
        <v>10</v>
      </c>
      <c r="I10">
        <v>206.57</v>
      </c>
      <c r="J10" s="3">
        <f t="shared" si="2"/>
        <v>206.57</v>
      </c>
      <c r="K10" t="s">
        <v>13</v>
      </c>
    </row>
    <row r="11" spans="1:27" x14ac:dyDescent="0.25">
      <c r="A11">
        <f t="shared" si="3"/>
        <v>9</v>
      </c>
      <c r="B11">
        <v>8</v>
      </c>
      <c r="C11" t="str">
        <f t="shared" si="0"/>
        <v>INCOMPLETA</v>
      </c>
      <c r="D11" t="str">
        <f t="shared" si="1"/>
        <v>ERRO</v>
      </c>
      <c r="E11" s="1" t="s">
        <v>44</v>
      </c>
      <c r="F11" t="s">
        <v>12</v>
      </c>
      <c r="H11">
        <v>10</v>
      </c>
      <c r="I11" s="2"/>
      <c r="J11" s="3" t="str">
        <f t="shared" si="2"/>
        <v/>
      </c>
      <c r="K11" t="s">
        <v>10</v>
      </c>
    </row>
    <row r="12" spans="1:27" x14ac:dyDescent="0.25">
      <c r="A12">
        <f t="shared" si="3"/>
        <v>10</v>
      </c>
      <c r="B12">
        <v>9</v>
      </c>
      <c r="C12" t="str">
        <f t="shared" si="0"/>
        <v>INCOMPLETA</v>
      </c>
      <c r="D12" t="str">
        <f t="shared" si="1"/>
        <v>ERRO</v>
      </c>
      <c r="E12" s="1" t="s">
        <v>28</v>
      </c>
      <c r="F12" t="s">
        <v>8</v>
      </c>
      <c r="G12" t="s">
        <v>9</v>
      </c>
      <c r="H12">
        <v>-3</v>
      </c>
      <c r="I12" s="2">
        <v>-10</v>
      </c>
      <c r="J12" s="3" t="str">
        <f t="shared" si="2"/>
        <v/>
      </c>
      <c r="K12" t="s">
        <v>13</v>
      </c>
    </row>
    <row r="13" spans="1:27" x14ac:dyDescent="0.25">
      <c r="A13">
        <f t="shared" si="3"/>
        <v>11</v>
      </c>
      <c r="B13">
        <v>10</v>
      </c>
      <c r="C13" t="str">
        <f t="shared" si="0"/>
        <v>INCOMPLETA</v>
      </c>
      <c r="D13" t="str">
        <f t="shared" si="1"/>
        <v>ERRO</v>
      </c>
      <c r="E13" s="1" t="s">
        <v>29</v>
      </c>
      <c r="H13">
        <v>-3</v>
      </c>
      <c r="I13" s="2">
        <v>-10</v>
      </c>
      <c r="J13" s="3" t="str">
        <f t="shared" si="2"/>
        <v/>
      </c>
      <c r="K13" t="s">
        <v>17</v>
      </c>
    </row>
    <row r="14" spans="1:27" x14ac:dyDescent="0.25">
      <c r="A14">
        <f t="shared" si="3"/>
        <v>12</v>
      </c>
      <c r="B14">
        <v>11</v>
      </c>
      <c r="C14" t="str">
        <f t="shared" si="0"/>
        <v>INCOMPLETA</v>
      </c>
      <c r="D14" t="str">
        <f t="shared" si="1"/>
        <v>ERRO</v>
      </c>
      <c r="E14" s="1" t="s">
        <v>30</v>
      </c>
      <c r="G14" t="s">
        <v>31</v>
      </c>
      <c r="H14">
        <v>3</v>
      </c>
      <c r="I14" s="2"/>
      <c r="J14" s="3" t="str">
        <f t="shared" si="2"/>
        <v/>
      </c>
    </row>
    <row r="15" spans="1:27" x14ac:dyDescent="0.25">
      <c r="A15">
        <f t="shared" si="3"/>
        <v>13</v>
      </c>
      <c r="B15">
        <v>12</v>
      </c>
      <c r="C15" t="str">
        <f t="shared" si="0"/>
        <v>INCOMPLETA</v>
      </c>
      <c r="D15" t="str">
        <f t="shared" si="1"/>
        <v>ERRO</v>
      </c>
      <c r="E15" s="1" t="s">
        <v>32</v>
      </c>
      <c r="F15" t="s">
        <v>33</v>
      </c>
      <c r="G15" t="s">
        <v>23</v>
      </c>
      <c r="H15">
        <v>-3</v>
      </c>
      <c r="I15" s="2">
        <v>-10</v>
      </c>
      <c r="J15" s="3" t="str">
        <f t="shared" si="2"/>
        <v/>
      </c>
      <c r="K15" t="s">
        <v>10</v>
      </c>
    </row>
    <row r="16" spans="1:27" x14ac:dyDescent="0.25">
      <c r="A16">
        <f t="shared" si="3"/>
        <v>14</v>
      </c>
      <c r="B16">
        <v>13</v>
      </c>
      <c r="C16" t="str">
        <f t="shared" si="0"/>
        <v>COMPLETA</v>
      </c>
      <c r="D16" t="str">
        <f t="shared" si="1"/>
        <v>OK</v>
      </c>
      <c r="E16" s="1" t="s">
        <v>34</v>
      </c>
      <c r="F16" t="s">
        <v>12</v>
      </c>
      <c r="G16" t="s">
        <v>23</v>
      </c>
      <c r="H16">
        <v>10</v>
      </c>
      <c r="I16" s="2">
        <v>30</v>
      </c>
      <c r="J16" s="3">
        <f t="shared" si="2"/>
        <v>30</v>
      </c>
      <c r="K16" t="s">
        <v>21</v>
      </c>
    </row>
    <row r="17" spans="1:11" x14ac:dyDescent="0.25">
      <c r="A17">
        <f t="shared" si="3"/>
        <v>15</v>
      </c>
      <c r="B17">
        <v>14</v>
      </c>
      <c r="C17" t="str">
        <f t="shared" si="0"/>
        <v>INCOMPLETA</v>
      </c>
      <c r="D17" t="str">
        <f t="shared" si="1"/>
        <v>ERRO</v>
      </c>
      <c r="E17" s="1" t="s">
        <v>36</v>
      </c>
      <c r="F17" t="s">
        <v>33</v>
      </c>
      <c r="G17" t="s">
        <v>37</v>
      </c>
      <c r="I17" s="2">
        <v>258.76</v>
      </c>
      <c r="J17" s="3">
        <f t="shared" si="2"/>
        <v>258.76</v>
      </c>
    </row>
    <row r="18" spans="1:11" x14ac:dyDescent="0.25">
      <c r="A18">
        <f t="shared" si="3"/>
        <v>16</v>
      </c>
      <c r="B18">
        <v>15</v>
      </c>
      <c r="C18" t="str">
        <f t="shared" si="0"/>
        <v>INCOMPLETA</v>
      </c>
      <c r="D18" t="str">
        <f t="shared" si="1"/>
        <v>ERRO</v>
      </c>
      <c r="E18" t="s">
        <v>38</v>
      </c>
      <c r="G18" t="s">
        <v>9</v>
      </c>
      <c r="H18">
        <v>10</v>
      </c>
      <c r="I18">
        <v>383.63</v>
      </c>
      <c r="J18" s="3">
        <f t="shared" si="2"/>
        <v>383.63</v>
      </c>
      <c r="K18" t="s">
        <v>10</v>
      </c>
    </row>
    <row r="19" spans="1:11" x14ac:dyDescent="0.25">
      <c r="A19">
        <f t="shared" si="3"/>
        <v>17</v>
      </c>
      <c r="B19">
        <v>16</v>
      </c>
      <c r="C19" t="str">
        <f t="shared" si="0"/>
        <v>INCOMPLETA</v>
      </c>
      <c r="D19" t="str">
        <f t="shared" si="1"/>
        <v>ERRO</v>
      </c>
      <c r="E19" s="1" t="s">
        <v>39</v>
      </c>
      <c r="F19" t="s">
        <v>12</v>
      </c>
      <c r="G19" t="s">
        <v>19</v>
      </c>
      <c r="I19" s="2">
        <v>38.380000000000003</v>
      </c>
      <c r="J19" s="3">
        <f t="shared" si="2"/>
        <v>38.380000000000003</v>
      </c>
      <c r="K19" t="s">
        <v>21</v>
      </c>
    </row>
    <row r="20" spans="1:11" x14ac:dyDescent="0.25">
      <c r="A20">
        <f t="shared" si="3"/>
        <v>18</v>
      </c>
      <c r="B20">
        <v>17</v>
      </c>
      <c r="C20" t="str">
        <f t="shared" si="0"/>
        <v>INCOMPLETA</v>
      </c>
      <c r="D20" t="str">
        <f t="shared" si="1"/>
        <v>ERRO</v>
      </c>
      <c r="E20" s="1" t="s">
        <v>40</v>
      </c>
      <c r="G20" t="s">
        <v>15</v>
      </c>
      <c r="H20">
        <v>-3</v>
      </c>
      <c r="I20" s="2"/>
      <c r="J20" s="3" t="str">
        <f t="shared" si="2"/>
        <v/>
      </c>
      <c r="K20" t="s">
        <v>17</v>
      </c>
    </row>
    <row r="21" spans="1:11" x14ac:dyDescent="0.25">
      <c r="A21">
        <f t="shared" si="3"/>
        <v>19</v>
      </c>
      <c r="B21">
        <v>18</v>
      </c>
      <c r="C21" t="str">
        <f t="shared" si="0"/>
        <v>INCOMPLETA</v>
      </c>
      <c r="D21" t="str">
        <f t="shared" si="1"/>
        <v>ERRO</v>
      </c>
      <c r="E21" s="1" t="s">
        <v>41</v>
      </c>
      <c r="F21" t="s">
        <v>33</v>
      </c>
      <c r="G21" t="s">
        <v>9</v>
      </c>
      <c r="I21" s="2">
        <v>-10</v>
      </c>
      <c r="J21" s="3" t="str">
        <f t="shared" si="2"/>
        <v/>
      </c>
    </row>
    <row r="22" spans="1:11" x14ac:dyDescent="0.25">
      <c r="A22">
        <f t="shared" si="3"/>
        <v>20</v>
      </c>
      <c r="B22">
        <v>19</v>
      </c>
      <c r="C22" t="str">
        <f t="shared" si="0"/>
        <v>INCOMPLETA</v>
      </c>
      <c r="D22" t="str">
        <f t="shared" si="1"/>
        <v>ERRO</v>
      </c>
      <c r="E22" s="1" t="s">
        <v>42</v>
      </c>
      <c r="G22" t="s">
        <v>31</v>
      </c>
      <c r="I22" s="2" t="s">
        <v>35</v>
      </c>
      <c r="J22" s="3" t="str">
        <f t="shared" si="2"/>
        <v>R$ 30</v>
      </c>
      <c r="K22" t="s">
        <v>21</v>
      </c>
    </row>
    <row r="23" spans="1:11" x14ac:dyDescent="0.25">
      <c r="A23">
        <f t="shared" si="3"/>
        <v>21</v>
      </c>
      <c r="B23">
        <v>19</v>
      </c>
      <c r="C23" t="str">
        <f t="shared" si="0"/>
        <v>INCOMPLETA</v>
      </c>
      <c r="D23" t="str">
        <f t="shared" si="1"/>
        <v>ERRO</v>
      </c>
      <c r="E23" s="1" t="s">
        <v>63</v>
      </c>
      <c r="F23" t="s">
        <v>26</v>
      </c>
      <c r="H23">
        <v>10</v>
      </c>
      <c r="I23" s="2"/>
      <c r="J23" s="3" t="str">
        <f t="shared" si="2"/>
        <v/>
      </c>
      <c r="K23" t="s">
        <v>49</v>
      </c>
    </row>
    <row r="24" spans="1:11" x14ac:dyDescent="0.25">
      <c r="A24">
        <f t="shared" si="3"/>
        <v>22</v>
      </c>
      <c r="B24">
        <v>20</v>
      </c>
      <c r="C24" t="str">
        <f t="shared" si="0"/>
        <v>INCOMPLETA</v>
      </c>
      <c r="D24" t="str">
        <f t="shared" si="1"/>
        <v>ERRO</v>
      </c>
      <c r="E24" t="s">
        <v>43</v>
      </c>
      <c r="G24" t="s">
        <v>9</v>
      </c>
      <c r="H24">
        <v>1</v>
      </c>
      <c r="I24">
        <v>356.84</v>
      </c>
      <c r="J24" s="3">
        <f t="shared" si="2"/>
        <v>356.84</v>
      </c>
      <c r="K24" t="s">
        <v>13</v>
      </c>
    </row>
    <row r="25" spans="1:11" x14ac:dyDescent="0.25">
      <c r="A25">
        <f t="shared" si="3"/>
        <v>23</v>
      </c>
      <c r="B25">
        <v>22</v>
      </c>
      <c r="C25" t="str">
        <f t="shared" si="0"/>
        <v>INCOMPLETA</v>
      </c>
      <c r="D25" t="str">
        <f t="shared" si="1"/>
        <v>ERRO</v>
      </c>
      <c r="E25" s="1" t="s">
        <v>45</v>
      </c>
      <c r="G25" t="s">
        <v>31</v>
      </c>
      <c r="H25">
        <v>-3</v>
      </c>
      <c r="I25" s="2"/>
      <c r="J25" s="3" t="str">
        <f t="shared" si="2"/>
        <v/>
      </c>
      <c r="K25" t="s">
        <v>21</v>
      </c>
    </row>
    <row r="26" spans="1:11" x14ac:dyDescent="0.25">
      <c r="A26">
        <f t="shared" si="3"/>
        <v>24</v>
      </c>
      <c r="B26">
        <v>24</v>
      </c>
      <c r="C26" t="str">
        <f t="shared" si="0"/>
        <v>INCOMPLETA</v>
      </c>
      <c r="D26" t="str">
        <f t="shared" si="1"/>
        <v>ERRO</v>
      </c>
      <c r="E26" s="1" t="s">
        <v>48</v>
      </c>
      <c r="F26" t="s">
        <v>12</v>
      </c>
      <c r="G26" t="s">
        <v>9</v>
      </c>
      <c r="I26" s="2"/>
      <c r="J26" s="3" t="str">
        <f t="shared" si="2"/>
        <v/>
      </c>
      <c r="K26" t="s">
        <v>49</v>
      </c>
    </row>
    <row r="27" spans="1:11" x14ac:dyDescent="0.25">
      <c r="A27">
        <f t="shared" si="3"/>
        <v>25</v>
      </c>
      <c r="B27">
        <v>25</v>
      </c>
      <c r="C27" t="str">
        <f t="shared" si="0"/>
        <v>COMPLETA</v>
      </c>
      <c r="D27" t="str">
        <f t="shared" si="1"/>
        <v>OK</v>
      </c>
      <c r="E27" t="s">
        <v>50</v>
      </c>
      <c r="F27" t="s">
        <v>26</v>
      </c>
      <c r="G27" t="s">
        <v>23</v>
      </c>
      <c r="H27">
        <v>15</v>
      </c>
      <c r="I27">
        <v>34.79</v>
      </c>
      <c r="J27" s="3">
        <f t="shared" si="2"/>
        <v>34.79</v>
      </c>
      <c r="K27" t="s">
        <v>21</v>
      </c>
    </row>
    <row r="28" spans="1:11" x14ac:dyDescent="0.25">
      <c r="A28">
        <f t="shared" si="3"/>
        <v>26</v>
      </c>
      <c r="B28">
        <v>26</v>
      </c>
      <c r="C28" t="str">
        <f t="shared" si="0"/>
        <v>INCOMPLETA</v>
      </c>
      <c r="D28" t="str">
        <f t="shared" si="1"/>
        <v>ERRO</v>
      </c>
      <c r="E28" s="1" t="s">
        <v>51</v>
      </c>
      <c r="F28" t="s">
        <v>26</v>
      </c>
      <c r="G28" t="s">
        <v>47</v>
      </c>
      <c r="H28">
        <v>-3</v>
      </c>
      <c r="I28" s="2">
        <v>-10</v>
      </c>
      <c r="J28" s="3" t="str">
        <f t="shared" si="2"/>
        <v/>
      </c>
      <c r="K28" t="s">
        <v>21</v>
      </c>
    </row>
    <row r="29" spans="1:11" x14ac:dyDescent="0.25">
      <c r="A29">
        <f t="shared" si="3"/>
        <v>27</v>
      </c>
      <c r="B29">
        <v>27</v>
      </c>
      <c r="C29" t="str">
        <f t="shared" si="0"/>
        <v>INCOMPLETA</v>
      </c>
      <c r="D29" t="str">
        <f t="shared" si="1"/>
        <v>ERRO</v>
      </c>
      <c r="E29" s="1" t="s">
        <v>52</v>
      </c>
      <c r="F29" t="s">
        <v>33</v>
      </c>
      <c r="G29" t="s">
        <v>53</v>
      </c>
      <c r="H29">
        <v>10</v>
      </c>
      <c r="I29" s="2">
        <v>-10</v>
      </c>
      <c r="J29" s="3" t="str">
        <f t="shared" si="2"/>
        <v/>
      </c>
      <c r="K29" t="s">
        <v>13</v>
      </c>
    </row>
    <row r="30" spans="1:11" x14ac:dyDescent="0.25">
      <c r="A30">
        <f t="shared" si="3"/>
        <v>28</v>
      </c>
      <c r="B30">
        <v>28</v>
      </c>
      <c r="C30" t="str">
        <f t="shared" si="0"/>
        <v>INCOMPLETA</v>
      </c>
      <c r="D30" t="str">
        <f t="shared" si="1"/>
        <v>ERRO</v>
      </c>
      <c r="E30" s="1" t="s">
        <v>54</v>
      </c>
      <c r="F30" t="s">
        <v>12</v>
      </c>
      <c r="H30">
        <v>10</v>
      </c>
      <c r="I30" s="2">
        <v>-10</v>
      </c>
      <c r="J30" s="3" t="str">
        <f t="shared" si="2"/>
        <v/>
      </c>
      <c r="K30" t="s">
        <v>10</v>
      </c>
    </row>
    <row r="31" spans="1:11" x14ac:dyDescent="0.25">
      <c r="A31">
        <f t="shared" si="3"/>
        <v>29</v>
      </c>
      <c r="B31">
        <v>29</v>
      </c>
      <c r="C31" t="str">
        <f t="shared" si="0"/>
        <v>COMPLETA</v>
      </c>
      <c r="D31" t="str">
        <f t="shared" si="1"/>
        <v>OK</v>
      </c>
      <c r="E31" t="s">
        <v>55</v>
      </c>
      <c r="F31" t="s">
        <v>26</v>
      </c>
      <c r="G31" t="s">
        <v>37</v>
      </c>
      <c r="H31">
        <v>17</v>
      </c>
      <c r="I31">
        <v>427.16</v>
      </c>
      <c r="J31" s="3">
        <f t="shared" si="2"/>
        <v>427.16</v>
      </c>
      <c r="K31" t="s">
        <v>10</v>
      </c>
    </row>
    <row r="32" spans="1:11" x14ac:dyDescent="0.25">
      <c r="A32">
        <f t="shared" si="3"/>
        <v>30</v>
      </c>
      <c r="B32">
        <v>31</v>
      </c>
      <c r="C32" t="str">
        <f t="shared" si="0"/>
        <v>INCOMPLETA</v>
      </c>
      <c r="D32" t="str">
        <f t="shared" si="1"/>
        <v>ERRO</v>
      </c>
      <c r="E32" s="1" t="s">
        <v>57</v>
      </c>
      <c r="F32" t="s">
        <v>8</v>
      </c>
      <c r="G32" t="s">
        <v>53</v>
      </c>
      <c r="H32">
        <v>10</v>
      </c>
      <c r="I32" s="2">
        <v>-10</v>
      </c>
      <c r="J32" s="3" t="str">
        <f t="shared" si="2"/>
        <v/>
      </c>
      <c r="K32" t="s">
        <v>13</v>
      </c>
    </row>
    <row r="33" spans="1:11" x14ac:dyDescent="0.25">
      <c r="A33">
        <f t="shared" si="3"/>
        <v>31</v>
      </c>
      <c r="B33">
        <v>32</v>
      </c>
      <c r="C33" t="str">
        <f t="shared" si="0"/>
        <v>COMPLETA</v>
      </c>
      <c r="D33" t="str">
        <f t="shared" si="1"/>
        <v>OK</v>
      </c>
      <c r="E33" t="s">
        <v>58</v>
      </c>
      <c r="F33" t="s">
        <v>33</v>
      </c>
      <c r="G33" t="s">
        <v>19</v>
      </c>
      <c r="H33">
        <v>3</v>
      </c>
      <c r="I33">
        <v>234.56</v>
      </c>
      <c r="J33" s="3">
        <f t="shared" si="2"/>
        <v>234.56</v>
      </c>
      <c r="K33" t="s">
        <v>21</v>
      </c>
    </row>
    <row r="34" spans="1:11" x14ac:dyDescent="0.25">
      <c r="A34">
        <f t="shared" si="3"/>
        <v>32</v>
      </c>
      <c r="B34">
        <v>33</v>
      </c>
      <c r="C34" t="str">
        <f t="shared" ref="C34:C65" si="4">IF(AND(B34&lt;&gt;"",E34&lt;&gt;"",F34&lt;&gt;"",G34&lt;&gt;"",H34&lt;&gt;"",J34&lt;&gt;"",K34&lt;&gt;""),"COMPLETA","INCOMPLETA")</f>
        <v>COMPLETA</v>
      </c>
      <c r="D34" t="str">
        <f t="shared" ref="D34:D65" si="5">IF(AND(C34="COMPLETA", ISNUMBER(H34), H34&gt;0, ISNUMBER(J34), J34&gt;0), "OK", "ERRO")</f>
        <v>ERRO</v>
      </c>
      <c r="E34" s="1" t="s">
        <v>59</v>
      </c>
      <c r="F34" t="s">
        <v>8</v>
      </c>
      <c r="G34" t="s">
        <v>15</v>
      </c>
      <c r="H34">
        <v>12</v>
      </c>
      <c r="I34" s="2" t="s">
        <v>35</v>
      </c>
      <c r="J34" s="3" t="str">
        <f t="shared" ref="J34:J65" si="6">IF(I34&gt;0, I34, "")</f>
        <v>R$ 30</v>
      </c>
      <c r="K34" t="s">
        <v>17</v>
      </c>
    </row>
    <row r="35" spans="1:11" x14ac:dyDescent="0.25">
      <c r="A35">
        <f t="shared" si="3"/>
        <v>33</v>
      </c>
      <c r="B35">
        <v>34</v>
      </c>
      <c r="C35" t="str">
        <f t="shared" si="4"/>
        <v>INCOMPLETA</v>
      </c>
      <c r="D35" t="str">
        <f t="shared" si="5"/>
        <v>ERRO</v>
      </c>
      <c r="E35" s="1" t="s">
        <v>60</v>
      </c>
      <c r="F35" t="s">
        <v>8</v>
      </c>
      <c r="H35">
        <v>10</v>
      </c>
      <c r="I35" s="2">
        <v>466.56</v>
      </c>
      <c r="J35" s="3">
        <f t="shared" si="6"/>
        <v>466.56</v>
      </c>
      <c r="K35" t="s">
        <v>13</v>
      </c>
    </row>
    <row r="36" spans="1:11" x14ac:dyDescent="0.25">
      <c r="A36">
        <f t="shared" si="3"/>
        <v>34</v>
      </c>
      <c r="B36">
        <v>35</v>
      </c>
      <c r="C36" t="str">
        <f t="shared" si="4"/>
        <v>INCOMPLETA</v>
      </c>
      <c r="D36" t="str">
        <f t="shared" si="5"/>
        <v>ERRO</v>
      </c>
      <c r="E36" s="1" t="s">
        <v>61</v>
      </c>
      <c r="G36" t="s">
        <v>15</v>
      </c>
      <c r="H36">
        <v>10</v>
      </c>
      <c r="I36" s="2" t="s">
        <v>35</v>
      </c>
      <c r="J36" s="3" t="str">
        <f t="shared" si="6"/>
        <v>R$ 30</v>
      </c>
      <c r="K36" t="s">
        <v>13</v>
      </c>
    </row>
    <row r="37" spans="1:11" x14ac:dyDescent="0.25">
      <c r="A37">
        <f t="shared" si="3"/>
        <v>35</v>
      </c>
      <c r="B37">
        <v>36</v>
      </c>
      <c r="C37" t="str">
        <f t="shared" si="4"/>
        <v>INCOMPLETA</v>
      </c>
      <c r="D37" t="str">
        <f t="shared" si="5"/>
        <v>ERRO</v>
      </c>
      <c r="E37" s="1" t="s">
        <v>62</v>
      </c>
      <c r="G37" t="s">
        <v>31</v>
      </c>
      <c r="H37">
        <v>9</v>
      </c>
      <c r="I37" s="2">
        <v>-10</v>
      </c>
      <c r="J37" s="3" t="str">
        <f t="shared" si="6"/>
        <v/>
      </c>
      <c r="K37" t="s">
        <v>17</v>
      </c>
    </row>
    <row r="38" spans="1:11" x14ac:dyDescent="0.25">
      <c r="A38">
        <f t="shared" si="3"/>
        <v>36</v>
      </c>
      <c r="B38">
        <v>39</v>
      </c>
      <c r="C38" t="str">
        <f t="shared" si="4"/>
        <v>INCOMPLETA</v>
      </c>
      <c r="D38" t="str">
        <f t="shared" si="5"/>
        <v>ERRO</v>
      </c>
      <c r="E38" s="1" t="s">
        <v>64</v>
      </c>
      <c r="F38" t="s">
        <v>8</v>
      </c>
      <c r="G38" t="s">
        <v>37</v>
      </c>
      <c r="I38" s="2">
        <v>344.21</v>
      </c>
      <c r="J38" s="3">
        <f t="shared" si="6"/>
        <v>344.21</v>
      </c>
      <c r="K38" t="s">
        <v>17</v>
      </c>
    </row>
    <row r="39" spans="1:11" x14ac:dyDescent="0.25">
      <c r="A39">
        <f t="shared" si="3"/>
        <v>37</v>
      </c>
      <c r="B39">
        <v>40</v>
      </c>
      <c r="C39" t="str">
        <f t="shared" si="4"/>
        <v>INCOMPLETA</v>
      </c>
      <c r="D39" t="str">
        <f t="shared" si="5"/>
        <v>ERRO</v>
      </c>
      <c r="E39" s="1" t="s">
        <v>65</v>
      </c>
      <c r="G39" t="s">
        <v>15</v>
      </c>
      <c r="I39" s="2"/>
      <c r="J39" s="3" t="str">
        <f t="shared" si="6"/>
        <v/>
      </c>
      <c r="K39" t="s">
        <v>49</v>
      </c>
    </row>
    <row r="40" spans="1:11" x14ac:dyDescent="0.25">
      <c r="A40">
        <f t="shared" si="3"/>
        <v>38</v>
      </c>
      <c r="B40">
        <v>42</v>
      </c>
      <c r="C40" t="str">
        <f t="shared" si="4"/>
        <v>INCOMPLETA</v>
      </c>
      <c r="D40" t="str">
        <f t="shared" si="5"/>
        <v>ERRO</v>
      </c>
      <c r="E40" s="1" t="s">
        <v>67</v>
      </c>
      <c r="F40" t="s">
        <v>26</v>
      </c>
      <c r="G40" t="s">
        <v>9</v>
      </c>
      <c r="H40">
        <v>10</v>
      </c>
      <c r="J40" s="3" t="str">
        <f t="shared" si="6"/>
        <v/>
      </c>
      <c r="K40" t="s">
        <v>13</v>
      </c>
    </row>
    <row r="41" spans="1:11" x14ac:dyDescent="0.25">
      <c r="A41">
        <f t="shared" si="3"/>
        <v>39</v>
      </c>
      <c r="B41">
        <v>44</v>
      </c>
      <c r="C41" t="str">
        <f t="shared" si="4"/>
        <v>COMPLETA</v>
      </c>
      <c r="D41" t="str">
        <f t="shared" si="5"/>
        <v>OK</v>
      </c>
      <c r="E41" s="1" t="s">
        <v>69</v>
      </c>
      <c r="F41" t="s">
        <v>8</v>
      </c>
      <c r="G41" t="s">
        <v>37</v>
      </c>
      <c r="H41">
        <v>10</v>
      </c>
      <c r="I41" s="2">
        <v>30</v>
      </c>
      <c r="J41" s="3">
        <f t="shared" si="6"/>
        <v>30</v>
      </c>
      <c r="K41" t="s">
        <v>21</v>
      </c>
    </row>
    <row r="42" spans="1:11" x14ac:dyDescent="0.25">
      <c r="A42">
        <f t="shared" si="3"/>
        <v>40</v>
      </c>
      <c r="B42">
        <v>45</v>
      </c>
      <c r="C42" t="str">
        <f t="shared" si="4"/>
        <v>INCOMPLETA</v>
      </c>
      <c r="D42" t="str">
        <f t="shared" si="5"/>
        <v>ERRO</v>
      </c>
      <c r="E42" s="1" t="s">
        <v>70</v>
      </c>
      <c r="F42" t="s">
        <v>8</v>
      </c>
      <c r="G42" t="s">
        <v>19</v>
      </c>
      <c r="H42">
        <v>14</v>
      </c>
      <c r="I42" s="2"/>
      <c r="J42" s="3" t="str">
        <f t="shared" si="6"/>
        <v/>
      </c>
      <c r="K42" t="s">
        <v>17</v>
      </c>
    </row>
    <row r="43" spans="1:11" x14ac:dyDescent="0.25">
      <c r="A43">
        <f t="shared" si="3"/>
        <v>41</v>
      </c>
      <c r="B43">
        <v>47</v>
      </c>
      <c r="C43" t="str">
        <f t="shared" si="4"/>
        <v>INCOMPLETA</v>
      </c>
      <c r="D43" t="str">
        <f t="shared" si="5"/>
        <v>ERRO</v>
      </c>
      <c r="E43" s="1" t="s">
        <v>71</v>
      </c>
      <c r="F43" t="s">
        <v>8</v>
      </c>
      <c r="H43">
        <v>-3</v>
      </c>
      <c r="I43" s="2" t="s">
        <v>35</v>
      </c>
      <c r="J43" s="3" t="str">
        <f t="shared" si="6"/>
        <v>R$ 30</v>
      </c>
      <c r="K43" t="s">
        <v>10</v>
      </c>
    </row>
    <row r="44" spans="1:11" x14ac:dyDescent="0.25">
      <c r="A44">
        <f t="shared" si="3"/>
        <v>42</v>
      </c>
      <c r="B44">
        <v>48</v>
      </c>
      <c r="C44" t="str">
        <f t="shared" si="4"/>
        <v>COMPLETA</v>
      </c>
      <c r="D44" t="str">
        <f t="shared" si="5"/>
        <v>OK</v>
      </c>
      <c r="E44" t="s">
        <v>72</v>
      </c>
      <c r="F44" t="s">
        <v>33</v>
      </c>
      <c r="G44" t="s">
        <v>15</v>
      </c>
      <c r="H44">
        <v>10</v>
      </c>
      <c r="I44">
        <v>208.98</v>
      </c>
      <c r="J44" s="3">
        <f t="shared" si="6"/>
        <v>208.98</v>
      </c>
      <c r="K44" t="s">
        <v>17</v>
      </c>
    </row>
    <row r="45" spans="1:11" x14ac:dyDescent="0.25">
      <c r="A45">
        <f t="shared" si="3"/>
        <v>43</v>
      </c>
      <c r="B45">
        <v>48</v>
      </c>
      <c r="C45" t="str">
        <f t="shared" si="4"/>
        <v>INCOMPLETA</v>
      </c>
      <c r="D45" t="str">
        <f t="shared" si="5"/>
        <v>ERRO</v>
      </c>
      <c r="E45" s="1" t="s">
        <v>90</v>
      </c>
      <c r="F45" t="s">
        <v>26</v>
      </c>
      <c r="G45" t="s">
        <v>47</v>
      </c>
      <c r="I45" s="2">
        <v>-10</v>
      </c>
      <c r="J45" s="3" t="str">
        <f t="shared" si="6"/>
        <v/>
      </c>
      <c r="K45" t="s">
        <v>49</v>
      </c>
    </row>
    <row r="46" spans="1:11" x14ac:dyDescent="0.25">
      <c r="A46">
        <f t="shared" si="3"/>
        <v>44</v>
      </c>
      <c r="B46">
        <v>49</v>
      </c>
      <c r="C46" t="str">
        <f t="shared" si="4"/>
        <v>INCOMPLETA</v>
      </c>
      <c r="D46" t="str">
        <f t="shared" si="5"/>
        <v>ERRO</v>
      </c>
      <c r="E46" s="1" t="s">
        <v>68</v>
      </c>
      <c r="F46" t="s">
        <v>8</v>
      </c>
      <c r="G46" t="s">
        <v>53</v>
      </c>
      <c r="H46">
        <v>10</v>
      </c>
      <c r="I46" s="2">
        <v>-10</v>
      </c>
      <c r="J46" s="3" t="str">
        <f t="shared" si="6"/>
        <v/>
      </c>
    </row>
    <row r="47" spans="1:11" x14ac:dyDescent="0.25">
      <c r="A47">
        <f t="shared" si="3"/>
        <v>45</v>
      </c>
      <c r="B47">
        <v>49</v>
      </c>
      <c r="C47" t="str">
        <f t="shared" si="4"/>
        <v>INCOMPLETA</v>
      </c>
      <c r="D47" t="str">
        <f t="shared" si="5"/>
        <v>ERRO</v>
      </c>
      <c r="E47" s="1" t="s">
        <v>73</v>
      </c>
      <c r="G47" t="s">
        <v>19</v>
      </c>
      <c r="H47">
        <v>-3</v>
      </c>
      <c r="I47" s="2"/>
      <c r="J47" s="3" t="str">
        <f t="shared" si="6"/>
        <v/>
      </c>
      <c r="K47" t="s">
        <v>10</v>
      </c>
    </row>
    <row r="48" spans="1:11" x14ac:dyDescent="0.25">
      <c r="A48">
        <f t="shared" si="3"/>
        <v>46</v>
      </c>
      <c r="B48">
        <v>50</v>
      </c>
      <c r="C48" t="str">
        <f t="shared" si="4"/>
        <v>INCOMPLETA</v>
      </c>
      <c r="D48" t="str">
        <f t="shared" si="5"/>
        <v>ERRO</v>
      </c>
      <c r="E48" s="1" t="s">
        <v>74</v>
      </c>
      <c r="F48" t="s">
        <v>26</v>
      </c>
      <c r="G48" t="s">
        <v>23</v>
      </c>
      <c r="H48">
        <v>10</v>
      </c>
      <c r="I48" s="2"/>
      <c r="J48" s="3" t="str">
        <f t="shared" si="6"/>
        <v/>
      </c>
    </row>
    <row r="49" spans="1:11" x14ac:dyDescent="0.25">
      <c r="A49">
        <f t="shared" si="3"/>
        <v>47</v>
      </c>
      <c r="B49">
        <v>51</v>
      </c>
      <c r="C49" t="str">
        <f t="shared" si="4"/>
        <v>INCOMPLETA</v>
      </c>
      <c r="D49" t="str">
        <f t="shared" si="5"/>
        <v>ERRO</v>
      </c>
      <c r="E49" s="1" t="s">
        <v>75</v>
      </c>
      <c r="F49" t="s">
        <v>26</v>
      </c>
      <c r="G49" t="s">
        <v>37</v>
      </c>
      <c r="I49" s="2">
        <v>492.13</v>
      </c>
      <c r="J49" s="3">
        <f t="shared" si="6"/>
        <v>492.13</v>
      </c>
      <c r="K49" t="s">
        <v>49</v>
      </c>
    </row>
    <row r="50" spans="1:11" x14ac:dyDescent="0.25">
      <c r="A50">
        <f t="shared" si="3"/>
        <v>48</v>
      </c>
      <c r="B50">
        <v>52</v>
      </c>
      <c r="C50" t="str">
        <f t="shared" si="4"/>
        <v>INCOMPLETA</v>
      </c>
      <c r="D50" t="str">
        <f t="shared" si="5"/>
        <v>ERRO</v>
      </c>
      <c r="E50" s="1" t="s">
        <v>76</v>
      </c>
      <c r="G50" t="s">
        <v>9</v>
      </c>
      <c r="H50">
        <v>-3</v>
      </c>
      <c r="I50" s="2"/>
      <c r="J50" s="3" t="str">
        <f t="shared" si="6"/>
        <v/>
      </c>
    </row>
    <row r="51" spans="1:11" x14ac:dyDescent="0.25">
      <c r="A51">
        <f t="shared" si="3"/>
        <v>49</v>
      </c>
      <c r="B51">
        <v>53</v>
      </c>
      <c r="C51" t="str">
        <f t="shared" si="4"/>
        <v>INCOMPLETA</v>
      </c>
      <c r="D51" t="str">
        <f t="shared" si="5"/>
        <v>ERRO</v>
      </c>
      <c r="E51" s="1" t="s">
        <v>77</v>
      </c>
      <c r="F51" t="s">
        <v>12</v>
      </c>
      <c r="G51" t="s">
        <v>47</v>
      </c>
      <c r="I51" s="2">
        <v>-10</v>
      </c>
      <c r="J51" s="3" t="str">
        <f t="shared" si="6"/>
        <v/>
      </c>
      <c r="K51" t="s">
        <v>21</v>
      </c>
    </row>
    <row r="52" spans="1:11" x14ac:dyDescent="0.25">
      <c r="A52">
        <f t="shared" si="3"/>
        <v>50</v>
      </c>
      <c r="B52">
        <v>54</v>
      </c>
      <c r="C52" t="str">
        <f t="shared" si="4"/>
        <v>INCOMPLETA</v>
      </c>
      <c r="D52" t="str">
        <f t="shared" si="5"/>
        <v>ERRO</v>
      </c>
      <c r="E52" s="1" t="s">
        <v>71</v>
      </c>
      <c r="F52" t="s">
        <v>33</v>
      </c>
      <c r="G52" t="s">
        <v>15</v>
      </c>
      <c r="H52">
        <v>10</v>
      </c>
      <c r="I52" s="2">
        <v>-10</v>
      </c>
      <c r="J52" s="3" t="str">
        <f t="shared" si="6"/>
        <v/>
      </c>
      <c r="K52" t="s">
        <v>10</v>
      </c>
    </row>
    <row r="53" spans="1:11" x14ac:dyDescent="0.25">
      <c r="A53">
        <f t="shared" si="3"/>
        <v>51</v>
      </c>
      <c r="B53">
        <v>54</v>
      </c>
      <c r="C53" t="str">
        <f t="shared" si="4"/>
        <v>INCOMPLETA</v>
      </c>
      <c r="D53" t="str">
        <f t="shared" si="5"/>
        <v>ERRO</v>
      </c>
      <c r="E53" s="1" t="s">
        <v>124</v>
      </c>
      <c r="G53" t="s">
        <v>37</v>
      </c>
      <c r="H53">
        <v>10</v>
      </c>
      <c r="I53" s="2"/>
      <c r="J53" s="3" t="str">
        <f t="shared" si="6"/>
        <v/>
      </c>
      <c r="K53" t="s">
        <v>10</v>
      </c>
    </row>
    <row r="54" spans="1:11" x14ac:dyDescent="0.25">
      <c r="A54">
        <f t="shared" si="3"/>
        <v>52</v>
      </c>
      <c r="B54">
        <v>55</v>
      </c>
      <c r="C54" t="str">
        <f t="shared" si="4"/>
        <v>INCOMPLETA</v>
      </c>
      <c r="D54" t="str">
        <f t="shared" si="5"/>
        <v>ERRO</v>
      </c>
      <c r="E54" s="1" t="s">
        <v>59</v>
      </c>
      <c r="F54" t="s">
        <v>33</v>
      </c>
      <c r="I54" s="2">
        <v>-10</v>
      </c>
      <c r="J54" s="3" t="str">
        <f t="shared" si="6"/>
        <v/>
      </c>
      <c r="K54" t="s">
        <v>49</v>
      </c>
    </row>
    <row r="55" spans="1:11" x14ac:dyDescent="0.25">
      <c r="A55">
        <f t="shared" si="3"/>
        <v>53</v>
      </c>
      <c r="B55">
        <v>56</v>
      </c>
      <c r="C55" t="str">
        <f t="shared" si="4"/>
        <v>INCOMPLETA</v>
      </c>
      <c r="D55" t="str">
        <f t="shared" si="5"/>
        <v>ERRO</v>
      </c>
      <c r="E55" s="1" t="s">
        <v>29</v>
      </c>
      <c r="F55" t="s">
        <v>8</v>
      </c>
      <c r="I55" s="2">
        <v>144.55000000000001</v>
      </c>
      <c r="J55" s="3">
        <f t="shared" si="6"/>
        <v>144.55000000000001</v>
      </c>
    </row>
    <row r="56" spans="1:11" x14ac:dyDescent="0.25">
      <c r="A56">
        <f t="shared" si="3"/>
        <v>54</v>
      </c>
      <c r="B56">
        <v>56</v>
      </c>
      <c r="C56" t="str">
        <f t="shared" si="4"/>
        <v>COMPLETA</v>
      </c>
      <c r="D56" t="str">
        <f t="shared" si="5"/>
        <v>ERRO</v>
      </c>
      <c r="E56" s="1" t="s">
        <v>128</v>
      </c>
      <c r="F56" t="s">
        <v>8</v>
      </c>
      <c r="G56" t="s">
        <v>37</v>
      </c>
      <c r="H56">
        <v>14</v>
      </c>
      <c r="I56" s="2" t="s">
        <v>35</v>
      </c>
      <c r="J56" s="3" t="str">
        <f t="shared" si="6"/>
        <v>R$ 30</v>
      </c>
      <c r="K56" t="s">
        <v>13</v>
      </c>
    </row>
    <row r="57" spans="1:11" x14ac:dyDescent="0.25">
      <c r="A57">
        <f t="shared" si="3"/>
        <v>55</v>
      </c>
      <c r="B57">
        <v>57</v>
      </c>
      <c r="C57" t="str">
        <f t="shared" si="4"/>
        <v>INCOMPLETA</v>
      </c>
      <c r="D57" t="str">
        <f t="shared" si="5"/>
        <v>ERRO</v>
      </c>
      <c r="E57" s="1" t="s">
        <v>78</v>
      </c>
      <c r="F57" t="s">
        <v>8</v>
      </c>
      <c r="G57" t="s">
        <v>19</v>
      </c>
      <c r="H57">
        <v>18</v>
      </c>
      <c r="I57" s="2"/>
      <c r="J57" s="3" t="str">
        <f t="shared" si="6"/>
        <v/>
      </c>
      <c r="K57" t="s">
        <v>49</v>
      </c>
    </row>
    <row r="58" spans="1:11" x14ac:dyDescent="0.25">
      <c r="A58">
        <f t="shared" si="3"/>
        <v>56</v>
      </c>
      <c r="B58">
        <v>58</v>
      </c>
      <c r="C58" t="str">
        <f t="shared" si="4"/>
        <v>INCOMPLETA</v>
      </c>
      <c r="D58" t="str">
        <f t="shared" si="5"/>
        <v>ERRO</v>
      </c>
      <c r="E58" s="1" t="s">
        <v>79</v>
      </c>
      <c r="F58" t="s">
        <v>26</v>
      </c>
      <c r="G58" t="s">
        <v>23</v>
      </c>
      <c r="H58">
        <v>-3</v>
      </c>
      <c r="I58" s="2">
        <v>-10</v>
      </c>
      <c r="J58" s="3" t="str">
        <f t="shared" si="6"/>
        <v/>
      </c>
      <c r="K58" t="s">
        <v>49</v>
      </c>
    </row>
    <row r="59" spans="1:11" x14ac:dyDescent="0.25">
      <c r="A59">
        <f t="shared" si="3"/>
        <v>57</v>
      </c>
      <c r="B59">
        <v>60</v>
      </c>
      <c r="C59" t="str">
        <f t="shared" si="4"/>
        <v>INCOMPLETA</v>
      </c>
      <c r="D59" t="str">
        <f t="shared" si="5"/>
        <v>ERRO</v>
      </c>
      <c r="E59" s="1" t="s">
        <v>56</v>
      </c>
      <c r="F59" t="s">
        <v>12</v>
      </c>
      <c r="G59" t="s">
        <v>9</v>
      </c>
      <c r="H59">
        <v>19</v>
      </c>
      <c r="I59" s="2">
        <v>-10</v>
      </c>
      <c r="J59" s="3" t="str">
        <f t="shared" si="6"/>
        <v/>
      </c>
    </row>
    <row r="60" spans="1:11" x14ac:dyDescent="0.25">
      <c r="A60">
        <f t="shared" si="3"/>
        <v>58</v>
      </c>
      <c r="B60">
        <v>60</v>
      </c>
      <c r="C60" t="str">
        <f t="shared" si="4"/>
        <v>INCOMPLETA</v>
      </c>
      <c r="D60" t="str">
        <f t="shared" si="5"/>
        <v>ERRO</v>
      </c>
      <c r="E60" s="1" t="s">
        <v>72</v>
      </c>
      <c r="I60" s="2">
        <v>30</v>
      </c>
      <c r="J60" s="3">
        <f t="shared" si="6"/>
        <v>30</v>
      </c>
      <c r="K60" t="s">
        <v>49</v>
      </c>
    </row>
    <row r="61" spans="1:11" x14ac:dyDescent="0.25">
      <c r="A61">
        <f t="shared" si="3"/>
        <v>59</v>
      </c>
      <c r="B61">
        <v>61</v>
      </c>
      <c r="C61" t="str">
        <f t="shared" si="4"/>
        <v>COMPLETA</v>
      </c>
      <c r="D61" t="str">
        <f t="shared" si="5"/>
        <v>ERRO</v>
      </c>
      <c r="E61" s="1" t="s">
        <v>80</v>
      </c>
      <c r="F61" t="s">
        <v>8</v>
      </c>
      <c r="G61" t="s">
        <v>47</v>
      </c>
      <c r="H61">
        <v>-3</v>
      </c>
      <c r="I61" s="2">
        <v>460.58</v>
      </c>
      <c r="J61" s="3">
        <f t="shared" si="6"/>
        <v>460.58</v>
      </c>
      <c r="K61" t="s">
        <v>49</v>
      </c>
    </row>
    <row r="62" spans="1:11" x14ac:dyDescent="0.25">
      <c r="A62">
        <f t="shared" si="3"/>
        <v>60</v>
      </c>
      <c r="B62">
        <v>62</v>
      </c>
      <c r="C62" t="str">
        <f t="shared" si="4"/>
        <v>INCOMPLETA</v>
      </c>
      <c r="D62" t="str">
        <f t="shared" si="5"/>
        <v>ERRO</v>
      </c>
      <c r="E62" s="1" t="s">
        <v>81</v>
      </c>
      <c r="F62" t="s">
        <v>12</v>
      </c>
      <c r="G62" t="s">
        <v>23</v>
      </c>
      <c r="I62" s="2"/>
      <c r="J62" s="3" t="str">
        <f t="shared" si="6"/>
        <v/>
      </c>
      <c r="K62" t="s">
        <v>21</v>
      </c>
    </row>
    <row r="63" spans="1:11" x14ac:dyDescent="0.25">
      <c r="A63">
        <f t="shared" si="3"/>
        <v>61</v>
      </c>
      <c r="B63">
        <v>63</v>
      </c>
      <c r="C63" t="str">
        <f t="shared" si="4"/>
        <v>INCOMPLETA</v>
      </c>
      <c r="D63" t="str">
        <f t="shared" si="5"/>
        <v>ERRO</v>
      </c>
      <c r="E63" s="1" t="s">
        <v>82</v>
      </c>
      <c r="F63" t="s">
        <v>26</v>
      </c>
      <c r="G63" t="s">
        <v>31</v>
      </c>
      <c r="H63">
        <v>10</v>
      </c>
      <c r="I63" s="2">
        <v>-10</v>
      </c>
      <c r="J63" s="3" t="str">
        <f t="shared" si="6"/>
        <v/>
      </c>
      <c r="K63" t="s">
        <v>17</v>
      </c>
    </row>
    <row r="64" spans="1:11" x14ac:dyDescent="0.25">
      <c r="A64">
        <f t="shared" si="3"/>
        <v>62</v>
      </c>
      <c r="B64">
        <v>64</v>
      </c>
      <c r="C64" t="str">
        <f t="shared" si="4"/>
        <v>COMPLETA</v>
      </c>
      <c r="D64" t="str">
        <f t="shared" si="5"/>
        <v>OK</v>
      </c>
      <c r="E64" t="s">
        <v>72</v>
      </c>
      <c r="F64" t="s">
        <v>8</v>
      </c>
      <c r="G64" t="s">
        <v>23</v>
      </c>
      <c r="H64">
        <v>16</v>
      </c>
      <c r="I64">
        <v>377.02</v>
      </c>
      <c r="J64" s="3">
        <f t="shared" si="6"/>
        <v>377.02</v>
      </c>
      <c r="K64" t="s">
        <v>17</v>
      </c>
    </row>
    <row r="65" spans="1:11" x14ac:dyDescent="0.25">
      <c r="A65">
        <f t="shared" si="3"/>
        <v>63</v>
      </c>
      <c r="B65">
        <v>65</v>
      </c>
      <c r="C65" t="str">
        <f t="shared" si="4"/>
        <v>INCOMPLETA</v>
      </c>
      <c r="D65" t="str">
        <f t="shared" si="5"/>
        <v>ERRO</v>
      </c>
      <c r="E65" s="1" t="s">
        <v>40</v>
      </c>
      <c r="F65" t="s">
        <v>12</v>
      </c>
      <c r="G65" t="s">
        <v>37</v>
      </c>
      <c r="I65" s="2"/>
      <c r="J65" s="3" t="str">
        <f t="shared" si="6"/>
        <v/>
      </c>
      <c r="K65" t="s">
        <v>13</v>
      </c>
    </row>
    <row r="66" spans="1:11" x14ac:dyDescent="0.25">
      <c r="A66">
        <f t="shared" si="3"/>
        <v>64</v>
      </c>
      <c r="B66">
        <v>66</v>
      </c>
      <c r="C66" t="str">
        <f t="shared" ref="C66:C97" si="7">IF(AND(B66&lt;&gt;"",E66&lt;&gt;"",F66&lt;&gt;"",G66&lt;&gt;"",H66&lt;&gt;"",J66&lt;&gt;"",K66&lt;&gt;""),"COMPLETA","INCOMPLETA")</f>
        <v>INCOMPLETA</v>
      </c>
      <c r="D66" t="str">
        <f t="shared" ref="D66:D97" si="8">IF(AND(C66="COMPLETA", ISNUMBER(H66), H66&gt;0, ISNUMBER(J66), J66&gt;0), "OK", "ERRO")</f>
        <v>ERRO</v>
      </c>
      <c r="E66" s="1" t="s">
        <v>83</v>
      </c>
      <c r="F66" t="s">
        <v>12</v>
      </c>
      <c r="G66" t="s">
        <v>9</v>
      </c>
      <c r="H66">
        <v>10</v>
      </c>
      <c r="I66" s="2"/>
      <c r="J66" s="3" t="str">
        <f t="shared" ref="J66:J97" si="9">IF(I66&gt;0, I66, "")</f>
        <v/>
      </c>
      <c r="K66" t="s">
        <v>10</v>
      </c>
    </row>
    <row r="67" spans="1:11" x14ac:dyDescent="0.25">
      <c r="A67">
        <f t="shared" ref="A67:A130" si="10">ROW() -2</f>
        <v>65</v>
      </c>
      <c r="B67">
        <v>67</v>
      </c>
      <c r="C67" t="str">
        <f t="shared" si="7"/>
        <v>COMPLETA</v>
      </c>
      <c r="D67" t="str">
        <f t="shared" si="8"/>
        <v>ERRO</v>
      </c>
      <c r="E67" s="1" t="s">
        <v>84</v>
      </c>
      <c r="F67" t="s">
        <v>12</v>
      </c>
      <c r="G67" t="s">
        <v>15</v>
      </c>
      <c r="H67">
        <v>10</v>
      </c>
      <c r="I67" s="2" t="s">
        <v>35</v>
      </c>
      <c r="J67" s="3" t="str">
        <f t="shared" si="9"/>
        <v>R$ 30</v>
      </c>
      <c r="K67" t="s">
        <v>10</v>
      </c>
    </row>
    <row r="68" spans="1:11" x14ac:dyDescent="0.25">
      <c r="A68">
        <f t="shared" si="10"/>
        <v>66</v>
      </c>
      <c r="B68">
        <v>68</v>
      </c>
      <c r="C68" t="str">
        <f t="shared" si="7"/>
        <v>INCOMPLETA</v>
      </c>
      <c r="D68" t="str">
        <f t="shared" si="8"/>
        <v>ERRO</v>
      </c>
      <c r="E68" s="1" t="s">
        <v>20</v>
      </c>
      <c r="F68" t="s">
        <v>33</v>
      </c>
      <c r="G68" t="s">
        <v>9</v>
      </c>
      <c r="I68" s="2" t="s">
        <v>35</v>
      </c>
      <c r="J68" s="3" t="str">
        <f t="shared" si="9"/>
        <v>R$ 30</v>
      </c>
    </row>
    <row r="69" spans="1:11" x14ac:dyDescent="0.25">
      <c r="A69">
        <f t="shared" si="10"/>
        <v>67</v>
      </c>
      <c r="B69">
        <v>69</v>
      </c>
      <c r="C69" t="str">
        <f t="shared" si="7"/>
        <v>INCOMPLETA</v>
      </c>
      <c r="D69" t="str">
        <f t="shared" si="8"/>
        <v>ERRO</v>
      </c>
      <c r="E69" s="1" t="s">
        <v>85</v>
      </c>
      <c r="G69" t="s">
        <v>37</v>
      </c>
      <c r="H69">
        <v>-3</v>
      </c>
      <c r="I69" s="2">
        <v>334.15</v>
      </c>
      <c r="J69" s="3">
        <f t="shared" si="9"/>
        <v>334.15</v>
      </c>
      <c r="K69" t="s">
        <v>10</v>
      </c>
    </row>
    <row r="70" spans="1:11" x14ac:dyDescent="0.25">
      <c r="A70">
        <f t="shared" si="10"/>
        <v>68</v>
      </c>
      <c r="B70">
        <v>70</v>
      </c>
      <c r="C70" t="str">
        <f t="shared" si="7"/>
        <v>INCOMPLETA</v>
      </c>
      <c r="D70" t="str">
        <f t="shared" si="8"/>
        <v>ERRO</v>
      </c>
      <c r="E70" s="1" t="s">
        <v>86</v>
      </c>
      <c r="F70" t="s">
        <v>33</v>
      </c>
      <c r="G70" t="s">
        <v>31</v>
      </c>
      <c r="H70">
        <v>-3</v>
      </c>
      <c r="I70" s="2">
        <v>-10</v>
      </c>
      <c r="J70" s="3" t="str">
        <f t="shared" si="9"/>
        <v/>
      </c>
    </row>
    <row r="71" spans="1:11" x14ac:dyDescent="0.25">
      <c r="A71">
        <f t="shared" si="10"/>
        <v>69</v>
      </c>
      <c r="B71">
        <v>71</v>
      </c>
      <c r="C71" t="str">
        <f t="shared" si="7"/>
        <v>INCOMPLETA</v>
      </c>
      <c r="D71" t="str">
        <f t="shared" si="8"/>
        <v>ERRO</v>
      </c>
      <c r="E71" s="1" t="s">
        <v>87</v>
      </c>
      <c r="G71" t="s">
        <v>53</v>
      </c>
      <c r="H71">
        <v>-3</v>
      </c>
      <c r="I71" s="2" t="s">
        <v>35</v>
      </c>
      <c r="J71" s="3" t="str">
        <f t="shared" si="9"/>
        <v>R$ 30</v>
      </c>
      <c r="K71" t="s">
        <v>17</v>
      </c>
    </row>
    <row r="72" spans="1:11" x14ac:dyDescent="0.25">
      <c r="A72">
        <f t="shared" si="10"/>
        <v>70</v>
      </c>
      <c r="B72">
        <v>72</v>
      </c>
      <c r="C72" t="str">
        <f t="shared" si="7"/>
        <v>INCOMPLETA</v>
      </c>
      <c r="D72" t="str">
        <f t="shared" si="8"/>
        <v>ERRO</v>
      </c>
      <c r="E72" s="1" t="s">
        <v>88</v>
      </c>
      <c r="F72" t="s">
        <v>8</v>
      </c>
      <c r="G72" t="s">
        <v>31</v>
      </c>
      <c r="H72">
        <v>-3</v>
      </c>
      <c r="I72" s="2">
        <v>-10</v>
      </c>
      <c r="J72" s="3" t="str">
        <f t="shared" si="9"/>
        <v/>
      </c>
      <c r="K72" t="s">
        <v>17</v>
      </c>
    </row>
    <row r="73" spans="1:11" x14ac:dyDescent="0.25">
      <c r="A73">
        <f t="shared" si="10"/>
        <v>71</v>
      </c>
      <c r="B73">
        <v>75</v>
      </c>
      <c r="C73" t="str">
        <f t="shared" si="7"/>
        <v>INCOMPLETA</v>
      </c>
      <c r="D73" t="str">
        <f t="shared" si="8"/>
        <v>ERRO</v>
      </c>
      <c r="E73" s="1" t="s">
        <v>91</v>
      </c>
      <c r="F73" t="s">
        <v>8</v>
      </c>
      <c r="G73" t="s">
        <v>9</v>
      </c>
      <c r="I73" s="2" t="s">
        <v>35</v>
      </c>
      <c r="J73" s="3" t="str">
        <f t="shared" si="9"/>
        <v>R$ 30</v>
      </c>
      <c r="K73" t="s">
        <v>49</v>
      </c>
    </row>
    <row r="74" spans="1:11" x14ac:dyDescent="0.25">
      <c r="A74">
        <f t="shared" si="10"/>
        <v>72</v>
      </c>
      <c r="B74">
        <v>76</v>
      </c>
      <c r="C74" t="str">
        <f t="shared" si="7"/>
        <v>INCOMPLETA</v>
      </c>
      <c r="D74" t="str">
        <f t="shared" si="8"/>
        <v>ERRO</v>
      </c>
      <c r="E74" s="1" t="s">
        <v>92</v>
      </c>
      <c r="F74" t="s">
        <v>33</v>
      </c>
      <c r="H74">
        <v>10</v>
      </c>
      <c r="I74" s="2" t="s">
        <v>35</v>
      </c>
      <c r="J74" s="3" t="str">
        <f t="shared" si="9"/>
        <v>R$ 30</v>
      </c>
      <c r="K74" t="s">
        <v>17</v>
      </c>
    </row>
    <row r="75" spans="1:11" x14ac:dyDescent="0.25">
      <c r="A75">
        <f t="shared" si="10"/>
        <v>73</v>
      </c>
      <c r="B75">
        <v>77</v>
      </c>
      <c r="C75" t="str">
        <f t="shared" si="7"/>
        <v>INCOMPLETA</v>
      </c>
      <c r="D75" t="str">
        <f t="shared" si="8"/>
        <v>ERRO</v>
      </c>
      <c r="E75" s="1" t="s">
        <v>85</v>
      </c>
      <c r="F75" t="s">
        <v>26</v>
      </c>
      <c r="G75" t="s">
        <v>19</v>
      </c>
      <c r="I75" s="2">
        <v>-10</v>
      </c>
      <c r="J75" s="3" t="str">
        <f t="shared" si="9"/>
        <v/>
      </c>
      <c r="K75" t="s">
        <v>17</v>
      </c>
    </row>
    <row r="76" spans="1:11" x14ac:dyDescent="0.25">
      <c r="A76">
        <f t="shared" si="10"/>
        <v>74</v>
      </c>
      <c r="B76">
        <v>78</v>
      </c>
      <c r="C76" t="str">
        <f t="shared" si="7"/>
        <v>INCOMPLETA</v>
      </c>
      <c r="D76" t="str">
        <f t="shared" si="8"/>
        <v>ERRO</v>
      </c>
      <c r="E76" s="1" t="s">
        <v>93</v>
      </c>
      <c r="G76" t="s">
        <v>53</v>
      </c>
      <c r="I76" s="2" t="s">
        <v>35</v>
      </c>
      <c r="J76" s="3" t="str">
        <f t="shared" si="9"/>
        <v>R$ 30</v>
      </c>
      <c r="K76" t="s">
        <v>13</v>
      </c>
    </row>
    <row r="77" spans="1:11" x14ac:dyDescent="0.25">
      <c r="A77">
        <f t="shared" si="10"/>
        <v>75</v>
      </c>
      <c r="B77">
        <v>79</v>
      </c>
      <c r="C77" t="str">
        <f t="shared" si="7"/>
        <v>INCOMPLETA</v>
      </c>
      <c r="D77" t="str">
        <f t="shared" si="8"/>
        <v>ERRO</v>
      </c>
      <c r="E77" s="1" t="s">
        <v>94</v>
      </c>
      <c r="G77" t="s">
        <v>15</v>
      </c>
      <c r="H77">
        <v>9</v>
      </c>
      <c r="I77" s="2" t="s">
        <v>35</v>
      </c>
      <c r="J77" s="3" t="str">
        <f t="shared" si="9"/>
        <v>R$ 30</v>
      </c>
    </row>
    <row r="78" spans="1:11" x14ac:dyDescent="0.25">
      <c r="A78">
        <f t="shared" si="10"/>
        <v>76</v>
      </c>
      <c r="B78">
        <v>80</v>
      </c>
      <c r="C78" t="str">
        <f t="shared" si="7"/>
        <v>INCOMPLETA</v>
      </c>
      <c r="D78" t="str">
        <f t="shared" si="8"/>
        <v>ERRO</v>
      </c>
      <c r="E78" s="1" t="s">
        <v>38</v>
      </c>
      <c r="F78" t="s">
        <v>33</v>
      </c>
      <c r="G78" t="s">
        <v>23</v>
      </c>
      <c r="H78">
        <v>10</v>
      </c>
      <c r="I78" s="2">
        <v>-10</v>
      </c>
      <c r="J78" s="3" t="str">
        <f t="shared" si="9"/>
        <v/>
      </c>
      <c r="K78" t="s">
        <v>17</v>
      </c>
    </row>
    <row r="79" spans="1:11" x14ac:dyDescent="0.25">
      <c r="A79">
        <f t="shared" si="10"/>
        <v>77</v>
      </c>
      <c r="B79">
        <v>81</v>
      </c>
      <c r="C79" t="str">
        <f t="shared" si="7"/>
        <v>COMPLETA</v>
      </c>
      <c r="D79" t="str">
        <f t="shared" si="8"/>
        <v>OK</v>
      </c>
      <c r="E79" t="s">
        <v>95</v>
      </c>
      <c r="F79" t="s">
        <v>8</v>
      </c>
      <c r="G79" t="s">
        <v>31</v>
      </c>
      <c r="H79">
        <v>4</v>
      </c>
      <c r="I79">
        <v>206.35</v>
      </c>
      <c r="J79" s="3">
        <f t="shared" si="9"/>
        <v>206.35</v>
      </c>
      <c r="K79" t="s">
        <v>10</v>
      </c>
    </row>
    <row r="80" spans="1:11" x14ac:dyDescent="0.25">
      <c r="A80">
        <f t="shared" si="10"/>
        <v>78</v>
      </c>
      <c r="B80">
        <v>82</v>
      </c>
      <c r="C80" t="str">
        <f t="shared" si="7"/>
        <v>INCOMPLETA</v>
      </c>
      <c r="D80" t="str">
        <f t="shared" si="8"/>
        <v>ERRO</v>
      </c>
      <c r="E80" s="1" t="s">
        <v>95</v>
      </c>
      <c r="F80" t="s">
        <v>26</v>
      </c>
      <c r="G80" t="s">
        <v>15</v>
      </c>
      <c r="H80">
        <v>10</v>
      </c>
      <c r="I80" s="2"/>
      <c r="J80" s="3" t="str">
        <f t="shared" si="9"/>
        <v/>
      </c>
      <c r="K80" t="s">
        <v>21</v>
      </c>
    </row>
    <row r="81" spans="1:11" x14ac:dyDescent="0.25">
      <c r="A81">
        <f t="shared" si="10"/>
        <v>79</v>
      </c>
      <c r="B81">
        <v>83</v>
      </c>
      <c r="C81" t="str">
        <f t="shared" si="7"/>
        <v>COMPLETA</v>
      </c>
      <c r="D81" t="str">
        <f t="shared" si="8"/>
        <v>ERRO</v>
      </c>
      <c r="E81" s="1" t="s">
        <v>89</v>
      </c>
      <c r="F81" t="s">
        <v>33</v>
      </c>
      <c r="G81" t="s">
        <v>9</v>
      </c>
      <c r="H81">
        <v>10</v>
      </c>
      <c r="I81" s="2" t="s">
        <v>35</v>
      </c>
      <c r="J81" s="3" t="str">
        <f t="shared" si="9"/>
        <v>R$ 30</v>
      </c>
      <c r="K81" t="s">
        <v>10</v>
      </c>
    </row>
    <row r="82" spans="1:11" x14ac:dyDescent="0.25">
      <c r="A82">
        <f t="shared" si="10"/>
        <v>80</v>
      </c>
      <c r="B82">
        <v>83</v>
      </c>
      <c r="C82" t="str">
        <f t="shared" si="7"/>
        <v>INCOMPLETA</v>
      </c>
      <c r="D82" t="str">
        <f t="shared" si="8"/>
        <v>ERRO</v>
      </c>
      <c r="E82" s="1" t="s">
        <v>96</v>
      </c>
      <c r="G82" t="s">
        <v>9</v>
      </c>
      <c r="H82">
        <v>-3</v>
      </c>
      <c r="I82" s="2">
        <v>-10</v>
      </c>
      <c r="J82" s="3" t="str">
        <f t="shared" si="9"/>
        <v/>
      </c>
      <c r="K82" t="s">
        <v>17</v>
      </c>
    </row>
    <row r="83" spans="1:11" x14ac:dyDescent="0.25">
      <c r="A83">
        <f t="shared" si="10"/>
        <v>81</v>
      </c>
      <c r="B83">
        <v>84</v>
      </c>
      <c r="C83" t="str">
        <f t="shared" si="7"/>
        <v>INCOMPLETA</v>
      </c>
      <c r="D83" t="str">
        <f t="shared" si="8"/>
        <v>ERRO</v>
      </c>
      <c r="E83" s="1" t="s">
        <v>97</v>
      </c>
      <c r="F83" t="s">
        <v>8</v>
      </c>
      <c r="G83" t="s">
        <v>37</v>
      </c>
      <c r="H83">
        <v>20</v>
      </c>
      <c r="I83" s="2"/>
      <c r="J83" s="3" t="str">
        <f t="shared" si="9"/>
        <v/>
      </c>
    </row>
    <row r="84" spans="1:11" x14ac:dyDescent="0.25">
      <c r="A84">
        <f t="shared" si="10"/>
        <v>82</v>
      </c>
      <c r="B84">
        <v>85</v>
      </c>
      <c r="C84" t="str">
        <f t="shared" si="7"/>
        <v>INCOMPLETA</v>
      </c>
      <c r="D84" t="str">
        <f t="shared" si="8"/>
        <v>ERRO</v>
      </c>
      <c r="E84" s="1" t="s">
        <v>22</v>
      </c>
      <c r="F84" t="s">
        <v>26</v>
      </c>
      <c r="G84" t="s">
        <v>53</v>
      </c>
      <c r="H84">
        <v>-3</v>
      </c>
      <c r="I84" s="2">
        <v>-10</v>
      </c>
      <c r="J84" s="3" t="str">
        <f t="shared" si="9"/>
        <v/>
      </c>
      <c r="K84" t="s">
        <v>10</v>
      </c>
    </row>
    <row r="85" spans="1:11" x14ac:dyDescent="0.25">
      <c r="A85">
        <f t="shared" si="10"/>
        <v>83</v>
      </c>
      <c r="B85">
        <v>85</v>
      </c>
      <c r="C85" t="str">
        <f t="shared" si="7"/>
        <v>INCOMPLETA</v>
      </c>
      <c r="D85" t="str">
        <f t="shared" si="8"/>
        <v>ERRO</v>
      </c>
      <c r="E85" s="1" t="s">
        <v>81</v>
      </c>
      <c r="F85" t="s">
        <v>12</v>
      </c>
      <c r="G85" t="s">
        <v>15</v>
      </c>
      <c r="I85" s="2"/>
      <c r="J85" s="3" t="str">
        <f t="shared" si="9"/>
        <v/>
      </c>
      <c r="K85" t="s">
        <v>21</v>
      </c>
    </row>
    <row r="86" spans="1:11" x14ac:dyDescent="0.25">
      <c r="A86">
        <f t="shared" si="10"/>
        <v>84</v>
      </c>
      <c r="B86">
        <v>86</v>
      </c>
      <c r="C86" t="str">
        <f t="shared" si="7"/>
        <v>INCOMPLETA</v>
      </c>
      <c r="D86" t="str">
        <f t="shared" si="8"/>
        <v>ERRO</v>
      </c>
      <c r="E86" s="1" t="s">
        <v>63</v>
      </c>
      <c r="G86" t="s">
        <v>31</v>
      </c>
      <c r="H86">
        <v>10</v>
      </c>
      <c r="I86" s="2" t="s">
        <v>35</v>
      </c>
      <c r="J86" s="3" t="str">
        <f t="shared" si="9"/>
        <v>R$ 30</v>
      </c>
    </row>
    <row r="87" spans="1:11" x14ac:dyDescent="0.25">
      <c r="A87">
        <f t="shared" si="10"/>
        <v>85</v>
      </c>
      <c r="B87">
        <v>87</v>
      </c>
      <c r="C87" t="str">
        <f t="shared" si="7"/>
        <v>INCOMPLETA</v>
      </c>
      <c r="D87" t="str">
        <f t="shared" si="8"/>
        <v>ERRO</v>
      </c>
      <c r="E87" s="1" t="s">
        <v>98</v>
      </c>
      <c r="F87" t="s">
        <v>26</v>
      </c>
      <c r="G87" t="s">
        <v>53</v>
      </c>
      <c r="I87" s="2"/>
      <c r="J87" s="3" t="str">
        <f t="shared" si="9"/>
        <v/>
      </c>
    </row>
    <row r="88" spans="1:11" x14ac:dyDescent="0.25">
      <c r="A88">
        <f t="shared" si="10"/>
        <v>86</v>
      </c>
      <c r="B88">
        <v>88</v>
      </c>
      <c r="C88" t="str">
        <f t="shared" si="7"/>
        <v>INCOMPLETA</v>
      </c>
      <c r="D88" t="str">
        <f t="shared" si="8"/>
        <v>ERRO</v>
      </c>
      <c r="E88" s="1" t="s">
        <v>99</v>
      </c>
      <c r="F88" t="s">
        <v>26</v>
      </c>
      <c r="G88" t="s">
        <v>23</v>
      </c>
      <c r="I88" s="2" t="s">
        <v>35</v>
      </c>
      <c r="J88" s="3" t="str">
        <f t="shared" si="9"/>
        <v>R$ 30</v>
      </c>
      <c r="K88" t="s">
        <v>49</v>
      </c>
    </row>
    <row r="89" spans="1:11" x14ac:dyDescent="0.25">
      <c r="A89">
        <f t="shared" si="10"/>
        <v>87</v>
      </c>
      <c r="B89">
        <v>89</v>
      </c>
      <c r="C89" t="str">
        <f t="shared" si="7"/>
        <v>COMPLETA</v>
      </c>
      <c r="D89" t="str">
        <f t="shared" si="8"/>
        <v>ERRO</v>
      </c>
      <c r="E89" s="1" t="s">
        <v>63</v>
      </c>
      <c r="F89" t="s">
        <v>8</v>
      </c>
      <c r="G89" t="s">
        <v>47</v>
      </c>
      <c r="H89">
        <v>-3</v>
      </c>
      <c r="I89" s="2">
        <v>224.5</v>
      </c>
      <c r="J89" s="3">
        <f t="shared" si="9"/>
        <v>224.5</v>
      </c>
      <c r="K89" t="s">
        <v>49</v>
      </c>
    </row>
    <row r="90" spans="1:11" x14ac:dyDescent="0.25">
      <c r="A90">
        <f t="shared" si="10"/>
        <v>88</v>
      </c>
      <c r="B90">
        <v>90</v>
      </c>
      <c r="C90" t="str">
        <f t="shared" si="7"/>
        <v>INCOMPLETA</v>
      </c>
      <c r="D90" t="str">
        <f t="shared" si="8"/>
        <v>ERRO</v>
      </c>
      <c r="E90" s="1" t="s">
        <v>100</v>
      </c>
      <c r="F90" t="s">
        <v>8</v>
      </c>
      <c r="G90" t="s">
        <v>37</v>
      </c>
      <c r="I90" s="2">
        <v>481.34</v>
      </c>
      <c r="J90" s="3">
        <f t="shared" si="9"/>
        <v>481.34</v>
      </c>
    </row>
    <row r="91" spans="1:11" x14ac:dyDescent="0.25">
      <c r="A91">
        <f t="shared" si="10"/>
        <v>89</v>
      </c>
      <c r="B91">
        <v>91</v>
      </c>
      <c r="C91" t="str">
        <f t="shared" si="7"/>
        <v>INCOMPLETA</v>
      </c>
      <c r="D91" t="str">
        <f t="shared" si="8"/>
        <v>ERRO</v>
      </c>
      <c r="E91" s="1" t="s">
        <v>101</v>
      </c>
      <c r="F91" t="s">
        <v>12</v>
      </c>
      <c r="G91" t="s">
        <v>15</v>
      </c>
      <c r="H91">
        <v>-3</v>
      </c>
      <c r="I91" s="2"/>
      <c r="J91" s="3" t="str">
        <f t="shared" si="9"/>
        <v/>
      </c>
      <c r="K91" t="s">
        <v>10</v>
      </c>
    </row>
    <row r="92" spans="1:11" x14ac:dyDescent="0.25">
      <c r="A92">
        <f t="shared" si="10"/>
        <v>90</v>
      </c>
      <c r="B92">
        <v>92</v>
      </c>
      <c r="C92" t="str">
        <f t="shared" si="7"/>
        <v>COMPLETA</v>
      </c>
      <c r="D92" t="str">
        <f t="shared" si="8"/>
        <v>ERRO</v>
      </c>
      <c r="E92" s="1" t="s">
        <v>102</v>
      </c>
      <c r="F92" t="s">
        <v>12</v>
      </c>
      <c r="G92" t="s">
        <v>31</v>
      </c>
      <c r="H92">
        <v>-3</v>
      </c>
      <c r="I92" s="2">
        <v>173.32</v>
      </c>
      <c r="J92" s="3">
        <f t="shared" si="9"/>
        <v>173.32</v>
      </c>
      <c r="K92" t="s">
        <v>13</v>
      </c>
    </row>
    <row r="93" spans="1:11" x14ac:dyDescent="0.25">
      <c r="A93">
        <f t="shared" si="10"/>
        <v>91</v>
      </c>
      <c r="B93">
        <v>93</v>
      </c>
      <c r="C93" t="str">
        <f t="shared" si="7"/>
        <v>COMPLETA</v>
      </c>
      <c r="D93" t="str">
        <f t="shared" si="8"/>
        <v>ERRO</v>
      </c>
      <c r="E93" s="1" t="s">
        <v>103</v>
      </c>
      <c r="F93" t="s">
        <v>33</v>
      </c>
      <c r="G93" t="s">
        <v>53</v>
      </c>
      <c r="H93">
        <v>13</v>
      </c>
      <c r="I93" s="2" t="s">
        <v>35</v>
      </c>
      <c r="J93" s="3" t="str">
        <f t="shared" si="9"/>
        <v>R$ 30</v>
      </c>
      <c r="K93" t="s">
        <v>17</v>
      </c>
    </row>
    <row r="94" spans="1:11" x14ac:dyDescent="0.25">
      <c r="A94">
        <f t="shared" si="10"/>
        <v>92</v>
      </c>
      <c r="B94">
        <v>94</v>
      </c>
      <c r="C94" t="str">
        <f t="shared" si="7"/>
        <v>INCOMPLETA</v>
      </c>
      <c r="D94" t="str">
        <f t="shared" si="8"/>
        <v>ERRO</v>
      </c>
      <c r="E94" s="1" t="s">
        <v>22</v>
      </c>
      <c r="F94" t="s">
        <v>33</v>
      </c>
      <c r="H94">
        <v>-3</v>
      </c>
      <c r="I94" s="2"/>
      <c r="J94" s="3" t="str">
        <f t="shared" si="9"/>
        <v/>
      </c>
      <c r="K94" t="s">
        <v>10</v>
      </c>
    </row>
    <row r="95" spans="1:11" x14ac:dyDescent="0.25">
      <c r="A95">
        <f t="shared" si="10"/>
        <v>93</v>
      </c>
      <c r="B95">
        <v>95</v>
      </c>
      <c r="C95" t="str">
        <f t="shared" si="7"/>
        <v>INCOMPLETA</v>
      </c>
      <c r="D95" t="str">
        <f t="shared" si="8"/>
        <v>ERRO</v>
      </c>
      <c r="E95" s="1" t="s">
        <v>104</v>
      </c>
      <c r="F95" t="s">
        <v>33</v>
      </c>
      <c r="G95" t="s">
        <v>31</v>
      </c>
      <c r="I95" s="2"/>
      <c r="J95" s="3" t="str">
        <f t="shared" si="9"/>
        <v/>
      </c>
      <c r="K95" t="s">
        <v>17</v>
      </c>
    </row>
    <row r="96" spans="1:11" x14ac:dyDescent="0.25">
      <c r="A96">
        <f t="shared" si="10"/>
        <v>94</v>
      </c>
      <c r="B96">
        <v>96</v>
      </c>
      <c r="C96" t="str">
        <f t="shared" si="7"/>
        <v>INCOMPLETA</v>
      </c>
      <c r="D96" t="str">
        <f t="shared" si="8"/>
        <v>ERRO</v>
      </c>
      <c r="E96" s="1" t="s">
        <v>105</v>
      </c>
      <c r="F96" t="s">
        <v>33</v>
      </c>
      <c r="G96" t="s">
        <v>23</v>
      </c>
      <c r="I96" s="2" t="s">
        <v>35</v>
      </c>
      <c r="J96" s="3" t="str">
        <f t="shared" si="9"/>
        <v>R$ 30</v>
      </c>
      <c r="K96" t="s">
        <v>10</v>
      </c>
    </row>
    <row r="97" spans="1:11" x14ac:dyDescent="0.25">
      <c r="A97">
        <f t="shared" si="10"/>
        <v>95</v>
      </c>
      <c r="B97">
        <v>98</v>
      </c>
      <c r="C97" t="str">
        <f t="shared" si="7"/>
        <v>INCOMPLETA</v>
      </c>
      <c r="D97" t="str">
        <f t="shared" si="8"/>
        <v>ERRO</v>
      </c>
      <c r="E97" s="1" t="s">
        <v>106</v>
      </c>
      <c r="G97" t="s">
        <v>53</v>
      </c>
      <c r="H97">
        <v>-3</v>
      </c>
      <c r="I97" s="2"/>
      <c r="J97" s="3" t="str">
        <f t="shared" si="9"/>
        <v/>
      </c>
      <c r="K97" t="s">
        <v>49</v>
      </c>
    </row>
    <row r="98" spans="1:11" x14ac:dyDescent="0.25">
      <c r="A98">
        <f t="shared" si="10"/>
        <v>96</v>
      </c>
      <c r="B98">
        <v>99</v>
      </c>
      <c r="C98" t="str">
        <f t="shared" ref="C98:C129" si="11">IF(AND(B98&lt;&gt;"",E98&lt;&gt;"",F98&lt;&gt;"",G98&lt;&gt;"",H98&lt;&gt;"",J98&lt;&gt;"",K98&lt;&gt;""),"COMPLETA","INCOMPLETA")</f>
        <v>INCOMPLETA</v>
      </c>
      <c r="D98" t="str">
        <f t="shared" ref="D98:D129" si="12">IF(AND(C98="COMPLETA", ISNUMBER(H98), H98&gt;0, ISNUMBER(J98), J98&gt;0), "OK", "ERRO")</f>
        <v>ERRO</v>
      </c>
      <c r="E98" s="1" t="s">
        <v>107</v>
      </c>
      <c r="F98" t="s">
        <v>26</v>
      </c>
      <c r="H98">
        <v>5</v>
      </c>
      <c r="I98" s="2">
        <v>-10</v>
      </c>
      <c r="J98" s="3" t="str">
        <f t="shared" ref="J98:J129" si="13">IF(I98&gt;0, I98, "")</f>
        <v/>
      </c>
      <c r="K98" t="s">
        <v>17</v>
      </c>
    </row>
    <row r="99" spans="1:11" x14ac:dyDescent="0.25">
      <c r="A99">
        <f t="shared" si="10"/>
        <v>97</v>
      </c>
      <c r="B99">
        <v>100</v>
      </c>
      <c r="C99" t="str">
        <f t="shared" si="11"/>
        <v>INCOMPLETA</v>
      </c>
      <c r="D99" t="str">
        <f t="shared" si="12"/>
        <v>ERRO</v>
      </c>
      <c r="E99" s="1" t="s">
        <v>59</v>
      </c>
      <c r="F99" t="s">
        <v>8</v>
      </c>
      <c r="G99" t="s">
        <v>37</v>
      </c>
      <c r="H99">
        <v>10</v>
      </c>
      <c r="I99" s="2">
        <v>-10</v>
      </c>
      <c r="J99" s="3" t="str">
        <f t="shared" si="13"/>
        <v/>
      </c>
      <c r="K99" t="s">
        <v>13</v>
      </c>
    </row>
    <row r="100" spans="1:11" x14ac:dyDescent="0.25">
      <c r="A100">
        <f t="shared" si="10"/>
        <v>98</v>
      </c>
      <c r="B100">
        <v>101</v>
      </c>
      <c r="C100" t="str">
        <f t="shared" si="11"/>
        <v>COMPLETA</v>
      </c>
      <c r="D100" t="str">
        <f t="shared" si="12"/>
        <v>ERRO</v>
      </c>
      <c r="E100" s="1" t="s">
        <v>108</v>
      </c>
      <c r="F100" t="s">
        <v>8</v>
      </c>
      <c r="G100" t="s">
        <v>19</v>
      </c>
      <c r="H100">
        <v>-3</v>
      </c>
      <c r="I100" s="2" t="s">
        <v>35</v>
      </c>
      <c r="J100" s="3" t="str">
        <f t="shared" si="13"/>
        <v>R$ 30</v>
      </c>
      <c r="K100" t="s">
        <v>13</v>
      </c>
    </row>
    <row r="101" spans="1:11" x14ac:dyDescent="0.25">
      <c r="A101">
        <f t="shared" si="10"/>
        <v>99</v>
      </c>
      <c r="B101">
        <v>102</v>
      </c>
      <c r="C101" t="str">
        <f t="shared" si="11"/>
        <v>INCOMPLETA</v>
      </c>
      <c r="D101" t="str">
        <f t="shared" si="12"/>
        <v>ERRO</v>
      </c>
      <c r="E101" s="1" t="s">
        <v>109</v>
      </c>
      <c r="G101" t="s">
        <v>47</v>
      </c>
      <c r="H101">
        <v>-3</v>
      </c>
      <c r="I101" s="2">
        <v>-10</v>
      </c>
      <c r="J101" s="3" t="str">
        <f t="shared" si="13"/>
        <v/>
      </c>
    </row>
    <row r="102" spans="1:11" x14ac:dyDescent="0.25">
      <c r="A102">
        <f t="shared" si="10"/>
        <v>100</v>
      </c>
      <c r="B102">
        <v>103</v>
      </c>
      <c r="C102" t="str">
        <f t="shared" si="11"/>
        <v>COMPLETA</v>
      </c>
      <c r="D102" t="str">
        <f t="shared" si="12"/>
        <v>ERRO</v>
      </c>
      <c r="E102" s="1" t="s">
        <v>18</v>
      </c>
      <c r="F102" t="s">
        <v>33</v>
      </c>
      <c r="G102" t="s">
        <v>15</v>
      </c>
      <c r="H102">
        <v>16</v>
      </c>
      <c r="I102" s="2" t="s">
        <v>35</v>
      </c>
      <c r="J102" s="3" t="str">
        <f t="shared" si="13"/>
        <v>R$ 30</v>
      </c>
      <c r="K102" t="s">
        <v>21</v>
      </c>
    </row>
    <row r="103" spans="1:11" x14ac:dyDescent="0.25">
      <c r="A103">
        <f t="shared" si="10"/>
        <v>101</v>
      </c>
      <c r="B103">
        <v>104</v>
      </c>
      <c r="C103" t="str">
        <f t="shared" si="11"/>
        <v>INCOMPLETA</v>
      </c>
      <c r="D103" t="str">
        <f t="shared" si="12"/>
        <v>ERRO</v>
      </c>
      <c r="E103" s="1" t="s">
        <v>91</v>
      </c>
      <c r="F103" t="s">
        <v>26</v>
      </c>
      <c r="G103" t="s">
        <v>23</v>
      </c>
      <c r="H103">
        <v>15</v>
      </c>
      <c r="I103" s="2"/>
      <c r="J103" s="3" t="str">
        <f t="shared" si="13"/>
        <v/>
      </c>
      <c r="K103" t="s">
        <v>49</v>
      </c>
    </row>
    <row r="104" spans="1:11" x14ac:dyDescent="0.25">
      <c r="A104">
        <f t="shared" si="10"/>
        <v>102</v>
      </c>
      <c r="B104">
        <v>104</v>
      </c>
      <c r="C104" t="str">
        <f t="shared" si="11"/>
        <v>INCOMPLETA</v>
      </c>
      <c r="D104" t="str">
        <f t="shared" si="12"/>
        <v>ERRO</v>
      </c>
      <c r="E104" s="1" t="s">
        <v>42</v>
      </c>
      <c r="F104" t="s">
        <v>12</v>
      </c>
      <c r="H104">
        <v>15</v>
      </c>
      <c r="I104" s="2">
        <v>-10</v>
      </c>
      <c r="J104" s="3" t="str">
        <f t="shared" si="13"/>
        <v/>
      </c>
    </row>
    <row r="105" spans="1:11" x14ac:dyDescent="0.25">
      <c r="A105">
        <f t="shared" si="10"/>
        <v>103</v>
      </c>
      <c r="B105">
        <v>105</v>
      </c>
      <c r="C105" t="str">
        <f t="shared" si="11"/>
        <v>INCOMPLETA</v>
      </c>
      <c r="D105" t="str">
        <f t="shared" si="12"/>
        <v>ERRO</v>
      </c>
      <c r="E105" s="1" t="s">
        <v>110</v>
      </c>
      <c r="F105" t="s">
        <v>33</v>
      </c>
      <c r="G105" t="s">
        <v>53</v>
      </c>
      <c r="H105">
        <v>-3</v>
      </c>
      <c r="I105" s="2" t="s">
        <v>35</v>
      </c>
      <c r="J105" s="3" t="str">
        <f t="shared" si="13"/>
        <v>R$ 30</v>
      </c>
    </row>
    <row r="106" spans="1:11" x14ac:dyDescent="0.25">
      <c r="A106">
        <f t="shared" si="10"/>
        <v>104</v>
      </c>
      <c r="B106">
        <v>106</v>
      </c>
      <c r="C106" t="str">
        <f t="shared" si="11"/>
        <v>INCOMPLETA</v>
      </c>
      <c r="D106" t="str">
        <f t="shared" si="12"/>
        <v>ERRO</v>
      </c>
      <c r="E106" s="1" t="s">
        <v>18</v>
      </c>
      <c r="F106" t="s">
        <v>8</v>
      </c>
      <c r="G106" t="s">
        <v>31</v>
      </c>
      <c r="H106">
        <v>18</v>
      </c>
      <c r="I106" s="2"/>
      <c r="J106" s="3" t="str">
        <f t="shared" si="13"/>
        <v/>
      </c>
    </row>
    <row r="107" spans="1:11" x14ac:dyDescent="0.25">
      <c r="A107">
        <f t="shared" si="10"/>
        <v>105</v>
      </c>
      <c r="B107">
        <v>107</v>
      </c>
      <c r="C107" t="str">
        <f t="shared" si="11"/>
        <v>INCOMPLETA</v>
      </c>
      <c r="D107" t="str">
        <f t="shared" si="12"/>
        <v>ERRO</v>
      </c>
      <c r="E107" s="1" t="s">
        <v>80</v>
      </c>
      <c r="G107" t="s">
        <v>37</v>
      </c>
      <c r="H107">
        <v>-3</v>
      </c>
      <c r="I107" s="2" t="s">
        <v>35</v>
      </c>
      <c r="J107" s="3" t="str">
        <f t="shared" si="13"/>
        <v>R$ 30</v>
      </c>
      <c r="K107" t="s">
        <v>17</v>
      </c>
    </row>
    <row r="108" spans="1:11" x14ac:dyDescent="0.25">
      <c r="A108">
        <f t="shared" si="10"/>
        <v>106</v>
      </c>
      <c r="B108">
        <v>107</v>
      </c>
      <c r="C108" t="str">
        <f t="shared" si="11"/>
        <v>COMPLETA</v>
      </c>
      <c r="D108" t="str">
        <f t="shared" si="12"/>
        <v>OK</v>
      </c>
      <c r="E108" t="s">
        <v>111</v>
      </c>
      <c r="F108" t="s">
        <v>26</v>
      </c>
      <c r="G108" t="s">
        <v>23</v>
      </c>
      <c r="H108">
        <v>14</v>
      </c>
      <c r="I108">
        <v>382.58</v>
      </c>
      <c r="J108" s="3">
        <f t="shared" si="13"/>
        <v>382.58</v>
      </c>
      <c r="K108" t="s">
        <v>49</v>
      </c>
    </row>
    <row r="109" spans="1:11" x14ac:dyDescent="0.25">
      <c r="A109">
        <f t="shared" si="10"/>
        <v>107</v>
      </c>
      <c r="B109">
        <v>108</v>
      </c>
      <c r="C109" t="str">
        <f t="shared" si="11"/>
        <v>COMPLETA</v>
      </c>
      <c r="D109" t="str">
        <f t="shared" si="12"/>
        <v>ERRO</v>
      </c>
      <c r="E109" s="1" t="s">
        <v>58</v>
      </c>
      <c r="F109" t="s">
        <v>12</v>
      </c>
      <c r="G109" t="s">
        <v>37</v>
      </c>
      <c r="H109">
        <v>11</v>
      </c>
      <c r="I109" s="2" t="s">
        <v>35</v>
      </c>
      <c r="J109" s="3" t="str">
        <f t="shared" si="13"/>
        <v>R$ 30</v>
      </c>
      <c r="K109" t="s">
        <v>49</v>
      </c>
    </row>
    <row r="110" spans="1:11" x14ac:dyDescent="0.25">
      <c r="A110">
        <f t="shared" si="10"/>
        <v>108</v>
      </c>
      <c r="B110">
        <v>109</v>
      </c>
      <c r="C110" t="str">
        <f t="shared" si="11"/>
        <v>INCOMPLETA</v>
      </c>
      <c r="D110" t="str">
        <f t="shared" si="12"/>
        <v>ERRO</v>
      </c>
      <c r="E110" s="1" t="s">
        <v>55</v>
      </c>
      <c r="F110" t="s">
        <v>33</v>
      </c>
      <c r="G110" t="s">
        <v>15</v>
      </c>
      <c r="I110" s="2">
        <v>-10</v>
      </c>
      <c r="J110" s="3" t="str">
        <f t="shared" si="13"/>
        <v/>
      </c>
      <c r="K110" t="s">
        <v>10</v>
      </c>
    </row>
    <row r="111" spans="1:11" x14ac:dyDescent="0.25">
      <c r="A111">
        <f t="shared" si="10"/>
        <v>109</v>
      </c>
      <c r="B111">
        <v>110</v>
      </c>
      <c r="C111" t="str">
        <f t="shared" si="11"/>
        <v>COMPLETA</v>
      </c>
      <c r="D111" t="str">
        <f t="shared" si="12"/>
        <v>OK</v>
      </c>
      <c r="E111" t="s">
        <v>46</v>
      </c>
      <c r="F111" t="s">
        <v>33</v>
      </c>
      <c r="G111" t="s">
        <v>47</v>
      </c>
      <c r="H111">
        <v>15</v>
      </c>
      <c r="I111">
        <v>339.95</v>
      </c>
      <c r="J111" s="3">
        <f t="shared" si="13"/>
        <v>339.95</v>
      </c>
      <c r="K111" t="s">
        <v>21</v>
      </c>
    </row>
    <row r="112" spans="1:11" x14ac:dyDescent="0.25">
      <c r="A112">
        <f t="shared" si="10"/>
        <v>110</v>
      </c>
      <c r="B112">
        <v>110</v>
      </c>
      <c r="C112" t="str">
        <f t="shared" si="11"/>
        <v>INCOMPLETA</v>
      </c>
      <c r="D112" t="str">
        <f t="shared" si="12"/>
        <v>ERRO</v>
      </c>
      <c r="E112" s="1" t="s">
        <v>112</v>
      </c>
      <c r="G112" t="s">
        <v>15</v>
      </c>
      <c r="H112">
        <v>-3</v>
      </c>
      <c r="I112" s="2">
        <v>-10</v>
      </c>
      <c r="J112" s="3" t="str">
        <f t="shared" si="13"/>
        <v/>
      </c>
      <c r="K112" t="s">
        <v>17</v>
      </c>
    </row>
    <row r="113" spans="1:11" x14ac:dyDescent="0.25">
      <c r="A113">
        <f t="shared" si="10"/>
        <v>111</v>
      </c>
      <c r="B113">
        <v>111</v>
      </c>
      <c r="C113" t="str">
        <f t="shared" si="11"/>
        <v>INCOMPLETA</v>
      </c>
      <c r="D113" t="str">
        <f t="shared" si="12"/>
        <v>ERRO</v>
      </c>
      <c r="E113" s="1" t="s">
        <v>52</v>
      </c>
      <c r="H113">
        <v>10</v>
      </c>
      <c r="I113" s="2" t="s">
        <v>35</v>
      </c>
      <c r="J113" s="3" t="str">
        <f t="shared" si="13"/>
        <v>R$ 30</v>
      </c>
      <c r="K113" t="s">
        <v>10</v>
      </c>
    </row>
    <row r="114" spans="1:11" x14ac:dyDescent="0.25">
      <c r="A114">
        <f t="shared" si="10"/>
        <v>112</v>
      </c>
      <c r="B114">
        <v>111</v>
      </c>
      <c r="C114" t="str">
        <f t="shared" si="11"/>
        <v>INCOMPLETA</v>
      </c>
      <c r="D114" t="str">
        <f t="shared" si="12"/>
        <v>ERRO</v>
      </c>
      <c r="E114" s="1" t="s">
        <v>113</v>
      </c>
      <c r="F114" t="s">
        <v>8</v>
      </c>
      <c r="H114">
        <v>6</v>
      </c>
      <c r="I114" s="2" t="s">
        <v>35</v>
      </c>
      <c r="J114" s="3" t="str">
        <f t="shared" si="13"/>
        <v>R$ 30</v>
      </c>
      <c r="K114" t="s">
        <v>10</v>
      </c>
    </row>
    <row r="115" spans="1:11" x14ac:dyDescent="0.25">
      <c r="A115">
        <f t="shared" si="10"/>
        <v>113</v>
      </c>
      <c r="B115">
        <v>112</v>
      </c>
      <c r="C115" t="str">
        <f t="shared" si="11"/>
        <v>INCOMPLETA</v>
      </c>
      <c r="D115" t="str">
        <f t="shared" si="12"/>
        <v>ERRO</v>
      </c>
      <c r="E115" s="1" t="s">
        <v>114</v>
      </c>
      <c r="F115" t="s">
        <v>8</v>
      </c>
      <c r="G115" t="s">
        <v>31</v>
      </c>
      <c r="I115" s="2">
        <v>-10</v>
      </c>
      <c r="J115" s="3" t="str">
        <f t="shared" si="13"/>
        <v/>
      </c>
      <c r="K115" t="s">
        <v>21</v>
      </c>
    </row>
    <row r="116" spans="1:11" x14ac:dyDescent="0.25">
      <c r="A116">
        <f t="shared" si="10"/>
        <v>114</v>
      </c>
      <c r="B116">
        <v>113</v>
      </c>
      <c r="C116" t="str">
        <f t="shared" si="11"/>
        <v>INCOMPLETA</v>
      </c>
      <c r="D116" t="str">
        <f t="shared" si="12"/>
        <v>ERRO</v>
      </c>
      <c r="E116" s="1" t="s">
        <v>45</v>
      </c>
      <c r="F116" t="s">
        <v>8</v>
      </c>
      <c r="G116" t="s">
        <v>53</v>
      </c>
      <c r="H116">
        <v>10</v>
      </c>
      <c r="I116" s="2">
        <v>-10</v>
      </c>
      <c r="J116" s="3" t="str">
        <f t="shared" si="13"/>
        <v/>
      </c>
      <c r="K116" t="s">
        <v>17</v>
      </c>
    </row>
    <row r="117" spans="1:11" x14ac:dyDescent="0.25">
      <c r="A117">
        <f t="shared" si="10"/>
        <v>115</v>
      </c>
      <c r="B117">
        <v>113</v>
      </c>
      <c r="C117" t="str">
        <f t="shared" si="11"/>
        <v>INCOMPLETA</v>
      </c>
      <c r="D117" t="str">
        <f t="shared" si="12"/>
        <v>ERRO</v>
      </c>
      <c r="E117" s="1" t="s">
        <v>81</v>
      </c>
      <c r="F117" t="s">
        <v>33</v>
      </c>
      <c r="G117" t="s">
        <v>31</v>
      </c>
      <c r="H117">
        <v>-3</v>
      </c>
      <c r="I117" s="2"/>
      <c r="J117" s="3" t="str">
        <f t="shared" si="13"/>
        <v/>
      </c>
      <c r="K117" t="s">
        <v>10</v>
      </c>
    </row>
    <row r="118" spans="1:11" x14ac:dyDescent="0.25">
      <c r="A118">
        <f t="shared" si="10"/>
        <v>116</v>
      </c>
      <c r="B118">
        <v>115</v>
      </c>
      <c r="C118" t="str">
        <f t="shared" si="11"/>
        <v>INCOMPLETA</v>
      </c>
      <c r="D118" t="str">
        <f t="shared" si="12"/>
        <v>ERRO</v>
      </c>
      <c r="E118" s="1" t="s">
        <v>116</v>
      </c>
      <c r="F118" t="s">
        <v>8</v>
      </c>
      <c r="G118" t="s">
        <v>15</v>
      </c>
      <c r="H118">
        <v>4</v>
      </c>
      <c r="I118" s="2">
        <v>-10</v>
      </c>
      <c r="J118" s="3" t="str">
        <f t="shared" si="13"/>
        <v/>
      </c>
      <c r="K118" t="s">
        <v>21</v>
      </c>
    </row>
    <row r="119" spans="1:11" x14ac:dyDescent="0.25">
      <c r="A119">
        <f t="shared" si="10"/>
        <v>117</v>
      </c>
      <c r="B119">
        <v>116</v>
      </c>
      <c r="C119" t="str">
        <f t="shared" si="11"/>
        <v>INCOMPLETA</v>
      </c>
      <c r="D119" t="str">
        <f t="shared" si="12"/>
        <v>ERRO</v>
      </c>
      <c r="E119" s="1" t="s">
        <v>117</v>
      </c>
      <c r="F119" t="s">
        <v>26</v>
      </c>
      <c r="G119" t="s">
        <v>23</v>
      </c>
      <c r="H119">
        <v>10</v>
      </c>
      <c r="I119" s="2"/>
      <c r="J119" s="3" t="str">
        <f t="shared" si="13"/>
        <v/>
      </c>
      <c r="K119" t="s">
        <v>13</v>
      </c>
    </row>
    <row r="120" spans="1:11" x14ac:dyDescent="0.25">
      <c r="A120">
        <f t="shared" si="10"/>
        <v>118</v>
      </c>
      <c r="B120">
        <v>117</v>
      </c>
      <c r="C120" t="str">
        <f t="shared" si="11"/>
        <v>INCOMPLETA</v>
      </c>
      <c r="D120" t="str">
        <f t="shared" si="12"/>
        <v>ERRO</v>
      </c>
      <c r="E120" s="1" t="s">
        <v>118</v>
      </c>
      <c r="F120" t="s">
        <v>8</v>
      </c>
      <c r="H120">
        <v>10</v>
      </c>
      <c r="I120" s="2" t="s">
        <v>35</v>
      </c>
      <c r="J120" s="3" t="str">
        <f t="shared" si="13"/>
        <v>R$ 30</v>
      </c>
      <c r="K120" t="s">
        <v>49</v>
      </c>
    </row>
    <row r="121" spans="1:11" x14ac:dyDescent="0.25">
      <c r="A121">
        <f t="shared" si="10"/>
        <v>119</v>
      </c>
      <c r="B121">
        <v>118</v>
      </c>
      <c r="C121" t="str">
        <f t="shared" si="11"/>
        <v>INCOMPLETA</v>
      </c>
      <c r="D121" t="str">
        <f t="shared" si="12"/>
        <v>ERRO</v>
      </c>
      <c r="E121" s="1" t="s">
        <v>119</v>
      </c>
      <c r="F121" t="s">
        <v>8</v>
      </c>
      <c r="G121" t="s">
        <v>23</v>
      </c>
      <c r="H121">
        <v>15</v>
      </c>
      <c r="I121" s="2"/>
      <c r="J121" s="3" t="str">
        <f t="shared" si="13"/>
        <v/>
      </c>
    </row>
    <row r="122" spans="1:11" x14ac:dyDescent="0.25">
      <c r="A122">
        <f t="shared" si="10"/>
        <v>120</v>
      </c>
      <c r="B122">
        <v>119</v>
      </c>
      <c r="C122" t="str">
        <f t="shared" si="11"/>
        <v>INCOMPLETA</v>
      </c>
      <c r="D122" t="str">
        <f t="shared" si="12"/>
        <v>ERRO</v>
      </c>
      <c r="E122" s="1" t="s">
        <v>120</v>
      </c>
      <c r="G122" t="s">
        <v>19</v>
      </c>
      <c r="H122">
        <v>-3</v>
      </c>
      <c r="I122" s="2">
        <v>16.82</v>
      </c>
      <c r="J122" s="3">
        <f t="shared" si="13"/>
        <v>16.82</v>
      </c>
      <c r="K122" t="s">
        <v>49</v>
      </c>
    </row>
    <row r="123" spans="1:11" x14ac:dyDescent="0.25">
      <c r="A123">
        <f t="shared" si="10"/>
        <v>121</v>
      </c>
      <c r="B123">
        <v>120</v>
      </c>
      <c r="C123" t="str">
        <f t="shared" si="11"/>
        <v>INCOMPLETA</v>
      </c>
      <c r="D123" t="str">
        <f t="shared" si="12"/>
        <v>ERRO</v>
      </c>
      <c r="E123" s="1" t="s">
        <v>84</v>
      </c>
      <c r="F123" t="s">
        <v>8</v>
      </c>
      <c r="G123" t="s">
        <v>47</v>
      </c>
      <c r="H123">
        <v>12</v>
      </c>
      <c r="I123" s="2">
        <v>-10</v>
      </c>
      <c r="J123" s="3" t="str">
        <f t="shared" si="13"/>
        <v/>
      </c>
      <c r="K123" t="s">
        <v>21</v>
      </c>
    </row>
    <row r="124" spans="1:11" x14ac:dyDescent="0.25">
      <c r="A124">
        <f t="shared" si="10"/>
        <v>122</v>
      </c>
      <c r="B124">
        <v>121</v>
      </c>
      <c r="C124" t="str">
        <f t="shared" si="11"/>
        <v>INCOMPLETA</v>
      </c>
      <c r="D124" t="str">
        <f t="shared" si="12"/>
        <v>ERRO</v>
      </c>
      <c r="E124" s="1" t="s">
        <v>121</v>
      </c>
      <c r="F124" t="s">
        <v>8</v>
      </c>
      <c r="G124" t="s">
        <v>9</v>
      </c>
      <c r="H124">
        <v>-3</v>
      </c>
      <c r="I124" s="2" t="s">
        <v>35</v>
      </c>
      <c r="J124" s="3" t="str">
        <f t="shared" si="13"/>
        <v>R$ 30</v>
      </c>
    </row>
    <row r="125" spans="1:11" x14ac:dyDescent="0.25">
      <c r="A125">
        <f t="shared" si="10"/>
        <v>123</v>
      </c>
      <c r="B125">
        <v>122</v>
      </c>
      <c r="C125" t="str">
        <f t="shared" si="11"/>
        <v>INCOMPLETA</v>
      </c>
      <c r="D125" t="str">
        <f t="shared" si="12"/>
        <v>ERRO</v>
      </c>
      <c r="E125" s="1" t="s">
        <v>30</v>
      </c>
      <c r="F125" t="s">
        <v>12</v>
      </c>
      <c r="G125" t="s">
        <v>37</v>
      </c>
      <c r="H125">
        <v>-3</v>
      </c>
      <c r="I125" s="2"/>
      <c r="J125" s="3" t="str">
        <f t="shared" si="13"/>
        <v/>
      </c>
      <c r="K125" t="s">
        <v>10</v>
      </c>
    </row>
    <row r="126" spans="1:11" x14ac:dyDescent="0.25">
      <c r="A126">
        <f t="shared" si="10"/>
        <v>124</v>
      </c>
      <c r="B126">
        <v>123</v>
      </c>
      <c r="C126" t="str">
        <f t="shared" si="11"/>
        <v>INCOMPLETA</v>
      </c>
      <c r="D126" t="str">
        <f t="shared" si="12"/>
        <v>ERRO</v>
      </c>
      <c r="E126" s="1" t="s">
        <v>122</v>
      </c>
      <c r="F126" t="s">
        <v>8</v>
      </c>
      <c r="I126" s="2">
        <v>443.85</v>
      </c>
      <c r="J126" s="3">
        <f t="shared" si="13"/>
        <v>443.85</v>
      </c>
      <c r="K126" t="s">
        <v>49</v>
      </c>
    </row>
    <row r="127" spans="1:11" x14ac:dyDescent="0.25">
      <c r="A127">
        <f t="shared" si="10"/>
        <v>125</v>
      </c>
      <c r="B127">
        <v>124</v>
      </c>
      <c r="C127" t="str">
        <f t="shared" si="11"/>
        <v>INCOMPLETA</v>
      </c>
      <c r="D127" t="str">
        <f t="shared" si="12"/>
        <v>ERRO</v>
      </c>
      <c r="E127" s="1" t="s">
        <v>14</v>
      </c>
      <c r="F127" t="s">
        <v>12</v>
      </c>
      <c r="G127" t="s">
        <v>19</v>
      </c>
      <c r="H127">
        <v>-3</v>
      </c>
      <c r="I127" s="2"/>
      <c r="J127" s="3" t="str">
        <f t="shared" si="13"/>
        <v/>
      </c>
      <c r="K127" t="s">
        <v>17</v>
      </c>
    </row>
    <row r="128" spans="1:11" x14ac:dyDescent="0.25">
      <c r="A128">
        <f t="shared" si="10"/>
        <v>126</v>
      </c>
      <c r="B128">
        <v>127</v>
      </c>
      <c r="C128" t="str">
        <f t="shared" si="11"/>
        <v>INCOMPLETA</v>
      </c>
      <c r="D128" t="str">
        <f t="shared" si="12"/>
        <v>ERRO</v>
      </c>
      <c r="E128" s="1" t="s">
        <v>125</v>
      </c>
      <c r="G128" t="s">
        <v>9</v>
      </c>
      <c r="I128" s="2"/>
      <c r="J128" s="3" t="str">
        <f t="shared" si="13"/>
        <v/>
      </c>
      <c r="K128" t="s">
        <v>17</v>
      </c>
    </row>
    <row r="129" spans="1:11" x14ac:dyDescent="0.25">
      <c r="A129">
        <f t="shared" si="10"/>
        <v>127</v>
      </c>
      <c r="B129">
        <v>128</v>
      </c>
      <c r="C129" t="str">
        <f t="shared" si="11"/>
        <v>INCOMPLETA</v>
      </c>
      <c r="D129" t="str">
        <f t="shared" si="12"/>
        <v>ERRO</v>
      </c>
      <c r="E129" s="1" t="s">
        <v>126</v>
      </c>
      <c r="F129" t="s">
        <v>12</v>
      </c>
      <c r="G129" t="s">
        <v>53</v>
      </c>
      <c r="I129" s="2"/>
      <c r="J129" s="3" t="str">
        <f t="shared" si="13"/>
        <v/>
      </c>
      <c r="K129" t="s">
        <v>21</v>
      </c>
    </row>
    <row r="130" spans="1:11" x14ac:dyDescent="0.25">
      <c r="A130">
        <f t="shared" si="10"/>
        <v>128</v>
      </c>
      <c r="B130">
        <v>129</v>
      </c>
      <c r="C130" t="str">
        <f t="shared" ref="C130:C161" si="14">IF(AND(B130&lt;&gt;"",E130&lt;&gt;"",F130&lt;&gt;"",G130&lt;&gt;"",H130&lt;&gt;"",J130&lt;&gt;"",K130&lt;&gt;""),"COMPLETA","INCOMPLETA")</f>
        <v>INCOMPLETA</v>
      </c>
      <c r="D130" t="str">
        <f t="shared" ref="D130:D161" si="15">IF(AND(C130="COMPLETA", ISNUMBER(H130), H130&gt;0, ISNUMBER(J130), J130&gt;0), "OK", "ERRO")</f>
        <v>ERRO</v>
      </c>
      <c r="E130" s="1" t="s">
        <v>7</v>
      </c>
      <c r="F130" t="s">
        <v>26</v>
      </c>
      <c r="G130" t="s">
        <v>37</v>
      </c>
      <c r="I130" s="2">
        <v>298.54000000000002</v>
      </c>
      <c r="J130" s="3">
        <f t="shared" ref="J130:J161" si="16">IF(I130&gt;0, I130, "")</f>
        <v>298.54000000000002</v>
      </c>
      <c r="K130" t="s">
        <v>13</v>
      </c>
    </row>
    <row r="131" spans="1:11" x14ac:dyDescent="0.25">
      <c r="A131">
        <f t="shared" ref="A131:A194" si="17">ROW() -2</f>
        <v>129</v>
      </c>
      <c r="B131">
        <v>130</v>
      </c>
      <c r="C131" t="str">
        <f t="shared" si="14"/>
        <v>INCOMPLETA</v>
      </c>
      <c r="D131" t="str">
        <f t="shared" si="15"/>
        <v>ERRO</v>
      </c>
      <c r="E131" s="1" t="s">
        <v>127</v>
      </c>
      <c r="F131" t="s">
        <v>33</v>
      </c>
      <c r="H131">
        <v>4</v>
      </c>
      <c r="I131" s="2" t="s">
        <v>35</v>
      </c>
      <c r="J131" s="3" t="str">
        <f t="shared" si="16"/>
        <v>R$ 30</v>
      </c>
      <c r="K131" t="s">
        <v>10</v>
      </c>
    </row>
    <row r="132" spans="1:11" x14ac:dyDescent="0.25">
      <c r="A132">
        <f t="shared" si="17"/>
        <v>130</v>
      </c>
      <c r="B132">
        <v>131</v>
      </c>
      <c r="C132" t="str">
        <f t="shared" si="14"/>
        <v>INCOMPLETA</v>
      </c>
      <c r="D132" t="str">
        <f t="shared" si="15"/>
        <v>ERRO</v>
      </c>
      <c r="E132" s="1" t="s">
        <v>128</v>
      </c>
      <c r="G132" t="s">
        <v>9</v>
      </c>
      <c r="H132">
        <v>20</v>
      </c>
      <c r="I132" s="2" t="s">
        <v>35</v>
      </c>
      <c r="J132" s="3" t="str">
        <f t="shared" si="16"/>
        <v>R$ 30</v>
      </c>
      <c r="K132" t="s">
        <v>49</v>
      </c>
    </row>
    <row r="133" spans="1:11" x14ac:dyDescent="0.25">
      <c r="A133">
        <f t="shared" si="17"/>
        <v>131</v>
      </c>
      <c r="B133">
        <v>132</v>
      </c>
      <c r="C133" t="str">
        <f t="shared" si="14"/>
        <v>INCOMPLETA</v>
      </c>
      <c r="D133" t="str">
        <f t="shared" si="15"/>
        <v>ERRO</v>
      </c>
      <c r="E133" s="1" t="s">
        <v>11</v>
      </c>
      <c r="F133" t="s">
        <v>12</v>
      </c>
      <c r="G133" t="s">
        <v>31</v>
      </c>
      <c r="H133">
        <v>-3</v>
      </c>
      <c r="I133" s="2">
        <v>-10</v>
      </c>
      <c r="J133" s="3" t="str">
        <f t="shared" si="16"/>
        <v/>
      </c>
    </row>
    <row r="134" spans="1:11" x14ac:dyDescent="0.25">
      <c r="A134">
        <f t="shared" si="17"/>
        <v>132</v>
      </c>
      <c r="B134">
        <v>133</v>
      </c>
      <c r="C134" t="str">
        <f t="shared" si="14"/>
        <v>INCOMPLETA</v>
      </c>
      <c r="D134" t="str">
        <f t="shared" si="15"/>
        <v>ERRO</v>
      </c>
      <c r="E134" s="1" t="s">
        <v>98</v>
      </c>
      <c r="F134" t="s">
        <v>12</v>
      </c>
      <c r="G134" t="s">
        <v>19</v>
      </c>
      <c r="I134" s="2" t="s">
        <v>35</v>
      </c>
      <c r="J134" s="3" t="str">
        <f t="shared" si="16"/>
        <v>R$ 30</v>
      </c>
      <c r="K134" t="s">
        <v>10</v>
      </c>
    </row>
    <row r="135" spans="1:11" x14ac:dyDescent="0.25">
      <c r="A135">
        <f t="shared" si="17"/>
        <v>133</v>
      </c>
      <c r="B135">
        <v>134</v>
      </c>
      <c r="C135" t="str">
        <f t="shared" si="14"/>
        <v>INCOMPLETA</v>
      </c>
      <c r="D135" t="str">
        <f t="shared" si="15"/>
        <v>ERRO</v>
      </c>
      <c r="E135" s="1" t="s">
        <v>129</v>
      </c>
      <c r="F135" t="s">
        <v>8</v>
      </c>
      <c r="G135" t="s">
        <v>47</v>
      </c>
      <c r="H135">
        <v>10</v>
      </c>
      <c r="I135" s="2">
        <v>-10</v>
      </c>
      <c r="J135" s="3" t="str">
        <f t="shared" si="16"/>
        <v/>
      </c>
      <c r="K135" t="s">
        <v>21</v>
      </c>
    </row>
    <row r="136" spans="1:11" x14ac:dyDescent="0.25">
      <c r="A136">
        <f t="shared" si="17"/>
        <v>134</v>
      </c>
      <c r="B136">
        <v>135</v>
      </c>
      <c r="C136" t="str">
        <f t="shared" si="14"/>
        <v>INCOMPLETA</v>
      </c>
      <c r="D136" t="str">
        <f t="shared" si="15"/>
        <v>ERRO</v>
      </c>
      <c r="E136" s="1" t="s">
        <v>130</v>
      </c>
      <c r="G136" t="s">
        <v>9</v>
      </c>
      <c r="H136">
        <v>-3</v>
      </c>
      <c r="I136" s="2">
        <v>-10</v>
      </c>
      <c r="J136" s="3" t="str">
        <f t="shared" si="16"/>
        <v/>
      </c>
      <c r="K136" t="s">
        <v>17</v>
      </c>
    </row>
    <row r="137" spans="1:11" x14ac:dyDescent="0.25">
      <c r="A137">
        <f t="shared" si="17"/>
        <v>135</v>
      </c>
      <c r="B137">
        <v>136</v>
      </c>
      <c r="C137" t="str">
        <f t="shared" si="14"/>
        <v>COMPLETA</v>
      </c>
      <c r="D137" t="str">
        <f t="shared" si="15"/>
        <v>ERRO</v>
      </c>
      <c r="E137" s="1" t="s">
        <v>68</v>
      </c>
      <c r="F137" t="s">
        <v>33</v>
      </c>
      <c r="G137" t="s">
        <v>23</v>
      </c>
      <c r="H137">
        <v>-3</v>
      </c>
      <c r="I137" s="2" t="s">
        <v>35</v>
      </c>
      <c r="J137" s="3" t="str">
        <f t="shared" si="16"/>
        <v>R$ 30</v>
      </c>
      <c r="K137" t="s">
        <v>17</v>
      </c>
    </row>
    <row r="138" spans="1:11" x14ac:dyDescent="0.25">
      <c r="A138">
        <f t="shared" si="17"/>
        <v>136</v>
      </c>
      <c r="B138">
        <v>137</v>
      </c>
      <c r="C138" t="str">
        <f t="shared" si="14"/>
        <v>INCOMPLETA</v>
      </c>
      <c r="D138" t="str">
        <f t="shared" si="15"/>
        <v>ERRO</v>
      </c>
      <c r="E138" s="1" t="s">
        <v>131</v>
      </c>
      <c r="F138" t="s">
        <v>33</v>
      </c>
      <c r="G138" t="s">
        <v>23</v>
      </c>
      <c r="H138">
        <v>3</v>
      </c>
      <c r="I138" s="2">
        <v>55.68</v>
      </c>
      <c r="J138" s="3">
        <f t="shared" si="16"/>
        <v>55.68</v>
      </c>
    </row>
    <row r="139" spans="1:11" x14ac:dyDescent="0.25">
      <c r="A139">
        <f t="shared" si="17"/>
        <v>137</v>
      </c>
      <c r="B139">
        <v>138</v>
      </c>
      <c r="C139" t="str">
        <f t="shared" si="14"/>
        <v>INCOMPLETA</v>
      </c>
      <c r="D139" t="str">
        <f t="shared" si="15"/>
        <v>ERRO</v>
      </c>
      <c r="E139" s="1" t="s">
        <v>132</v>
      </c>
      <c r="G139" t="s">
        <v>37</v>
      </c>
      <c r="H139">
        <v>10</v>
      </c>
      <c r="I139" s="2">
        <v>-10</v>
      </c>
      <c r="J139" s="3" t="str">
        <f t="shared" si="16"/>
        <v/>
      </c>
      <c r="K139" t="s">
        <v>17</v>
      </c>
    </row>
    <row r="140" spans="1:11" x14ac:dyDescent="0.25">
      <c r="A140">
        <f t="shared" si="17"/>
        <v>138</v>
      </c>
      <c r="B140">
        <v>139</v>
      </c>
      <c r="C140" t="str">
        <f t="shared" si="14"/>
        <v>INCOMPLETA</v>
      </c>
      <c r="D140" t="str">
        <f t="shared" si="15"/>
        <v>ERRO</v>
      </c>
      <c r="E140" s="1" t="s">
        <v>77</v>
      </c>
      <c r="F140" t="s">
        <v>33</v>
      </c>
      <c r="G140" t="s">
        <v>37</v>
      </c>
      <c r="H140">
        <v>10</v>
      </c>
      <c r="I140" s="2"/>
      <c r="J140" s="3" t="str">
        <f t="shared" si="16"/>
        <v/>
      </c>
      <c r="K140" t="s">
        <v>13</v>
      </c>
    </row>
    <row r="141" spans="1:11" x14ac:dyDescent="0.25">
      <c r="A141">
        <f t="shared" si="17"/>
        <v>139</v>
      </c>
      <c r="B141">
        <v>140</v>
      </c>
      <c r="C141" t="str">
        <f t="shared" si="14"/>
        <v>COMPLETA</v>
      </c>
      <c r="D141" t="str">
        <f t="shared" si="15"/>
        <v>ERRO</v>
      </c>
      <c r="E141" s="1" t="s">
        <v>133</v>
      </c>
      <c r="F141" t="s">
        <v>12</v>
      </c>
      <c r="G141" t="s">
        <v>19</v>
      </c>
      <c r="H141">
        <v>10</v>
      </c>
      <c r="I141" s="2" t="s">
        <v>35</v>
      </c>
      <c r="J141" s="3" t="str">
        <f t="shared" si="16"/>
        <v>R$ 30</v>
      </c>
      <c r="K141" t="s">
        <v>10</v>
      </c>
    </row>
    <row r="142" spans="1:11" x14ac:dyDescent="0.25">
      <c r="A142">
        <f t="shared" si="17"/>
        <v>140</v>
      </c>
      <c r="B142">
        <v>141</v>
      </c>
      <c r="C142" t="str">
        <f t="shared" si="14"/>
        <v>INCOMPLETA</v>
      </c>
      <c r="D142" t="str">
        <f t="shared" si="15"/>
        <v>ERRO</v>
      </c>
      <c r="E142" s="1" t="s">
        <v>97</v>
      </c>
      <c r="H142">
        <v>10</v>
      </c>
      <c r="I142" s="2" t="s">
        <v>35</v>
      </c>
      <c r="J142" s="3" t="str">
        <f t="shared" si="16"/>
        <v>R$ 30</v>
      </c>
    </row>
    <row r="143" spans="1:11" x14ac:dyDescent="0.25">
      <c r="A143">
        <f t="shared" si="17"/>
        <v>141</v>
      </c>
      <c r="B143">
        <v>142</v>
      </c>
      <c r="C143" t="str">
        <f t="shared" si="14"/>
        <v>INCOMPLETA</v>
      </c>
      <c r="D143" t="str">
        <f t="shared" si="15"/>
        <v>ERRO</v>
      </c>
      <c r="E143" s="1" t="s">
        <v>48</v>
      </c>
      <c r="F143" t="s">
        <v>8</v>
      </c>
      <c r="G143" t="s">
        <v>37</v>
      </c>
      <c r="I143" s="2">
        <v>-10</v>
      </c>
      <c r="J143" s="3" t="str">
        <f t="shared" si="16"/>
        <v/>
      </c>
      <c r="K143" t="s">
        <v>21</v>
      </c>
    </row>
    <row r="144" spans="1:11" x14ac:dyDescent="0.25">
      <c r="A144">
        <f t="shared" si="17"/>
        <v>142</v>
      </c>
      <c r="B144">
        <v>143</v>
      </c>
      <c r="C144" t="str">
        <f t="shared" si="14"/>
        <v>INCOMPLETA</v>
      </c>
      <c r="D144" t="str">
        <f t="shared" si="15"/>
        <v>ERRO</v>
      </c>
      <c r="E144" s="1" t="s">
        <v>134</v>
      </c>
      <c r="F144" t="s">
        <v>12</v>
      </c>
      <c r="G144" t="s">
        <v>23</v>
      </c>
      <c r="I144" s="2">
        <v>-10</v>
      </c>
      <c r="J144" s="3" t="str">
        <f t="shared" si="16"/>
        <v/>
      </c>
      <c r="K144" t="s">
        <v>17</v>
      </c>
    </row>
    <row r="145" spans="1:11" x14ac:dyDescent="0.25">
      <c r="A145">
        <f t="shared" si="17"/>
        <v>143</v>
      </c>
      <c r="B145">
        <v>144</v>
      </c>
      <c r="C145" t="str">
        <f t="shared" si="14"/>
        <v>INCOMPLETA</v>
      </c>
      <c r="D145" t="str">
        <f t="shared" si="15"/>
        <v>ERRO</v>
      </c>
      <c r="E145" s="1" t="s">
        <v>135</v>
      </c>
      <c r="F145" t="s">
        <v>8</v>
      </c>
      <c r="G145" t="s">
        <v>23</v>
      </c>
      <c r="I145" s="2">
        <v>87.13</v>
      </c>
      <c r="J145" s="3">
        <f t="shared" si="16"/>
        <v>87.13</v>
      </c>
    </row>
    <row r="146" spans="1:11" x14ac:dyDescent="0.25">
      <c r="A146">
        <f t="shared" si="17"/>
        <v>144</v>
      </c>
      <c r="B146">
        <v>146</v>
      </c>
      <c r="C146" t="str">
        <f t="shared" si="14"/>
        <v>COMPLETA</v>
      </c>
      <c r="D146" t="str">
        <f t="shared" si="15"/>
        <v>ERRO</v>
      </c>
      <c r="E146" s="1" t="s">
        <v>73</v>
      </c>
      <c r="F146" t="s">
        <v>12</v>
      </c>
      <c r="G146" t="s">
        <v>53</v>
      </c>
      <c r="H146">
        <v>-3</v>
      </c>
      <c r="I146" s="2" t="s">
        <v>35</v>
      </c>
      <c r="J146" s="3" t="str">
        <f t="shared" si="16"/>
        <v>R$ 30</v>
      </c>
      <c r="K146" t="s">
        <v>21</v>
      </c>
    </row>
    <row r="147" spans="1:11" x14ac:dyDescent="0.25">
      <c r="A147">
        <f t="shared" si="17"/>
        <v>145</v>
      </c>
      <c r="B147">
        <v>147</v>
      </c>
      <c r="C147" t="str">
        <f t="shared" si="14"/>
        <v>INCOMPLETA</v>
      </c>
      <c r="D147" t="str">
        <f t="shared" si="15"/>
        <v>ERRO</v>
      </c>
      <c r="E147" s="1" t="s">
        <v>136</v>
      </c>
      <c r="F147" t="s">
        <v>12</v>
      </c>
      <c r="G147" t="s">
        <v>37</v>
      </c>
      <c r="H147">
        <v>10</v>
      </c>
      <c r="I147" s="2"/>
      <c r="J147" s="3" t="str">
        <f t="shared" si="16"/>
        <v/>
      </c>
      <c r="K147" t="s">
        <v>17</v>
      </c>
    </row>
    <row r="148" spans="1:11" x14ac:dyDescent="0.25">
      <c r="A148">
        <f t="shared" si="17"/>
        <v>146</v>
      </c>
      <c r="B148">
        <v>148</v>
      </c>
      <c r="C148" t="str">
        <f t="shared" si="14"/>
        <v>INCOMPLETA</v>
      </c>
      <c r="D148" t="str">
        <f t="shared" si="15"/>
        <v>ERRO</v>
      </c>
      <c r="E148" s="1" t="s">
        <v>85</v>
      </c>
      <c r="F148" t="s">
        <v>12</v>
      </c>
      <c r="G148" t="s">
        <v>31</v>
      </c>
      <c r="I148" s="2"/>
      <c r="J148" s="3" t="str">
        <f t="shared" si="16"/>
        <v/>
      </c>
      <c r="K148" t="s">
        <v>10</v>
      </c>
    </row>
    <row r="149" spans="1:11" x14ac:dyDescent="0.25">
      <c r="A149">
        <f t="shared" si="17"/>
        <v>147</v>
      </c>
      <c r="B149">
        <v>149</v>
      </c>
      <c r="C149" t="str">
        <f t="shared" si="14"/>
        <v>INCOMPLETA</v>
      </c>
      <c r="D149" t="str">
        <f t="shared" si="15"/>
        <v>ERRO</v>
      </c>
      <c r="E149" s="1" t="s">
        <v>83</v>
      </c>
      <c r="F149" t="s">
        <v>8</v>
      </c>
      <c r="G149" t="s">
        <v>23</v>
      </c>
      <c r="H149">
        <v>13</v>
      </c>
      <c r="I149" s="2">
        <v>-10</v>
      </c>
      <c r="J149" s="3" t="str">
        <f t="shared" si="16"/>
        <v/>
      </c>
      <c r="K149" t="s">
        <v>21</v>
      </c>
    </row>
    <row r="150" spans="1:11" x14ac:dyDescent="0.25">
      <c r="A150">
        <f t="shared" si="17"/>
        <v>148</v>
      </c>
      <c r="B150">
        <v>150</v>
      </c>
      <c r="C150" t="str">
        <f t="shared" si="14"/>
        <v>COMPLETA</v>
      </c>
      <c r="D150" t="str">
        <f t="shared" si="15"/>
        <v>OK</v>
      </c>
      <c r="E150" t="s">
        <v>101</v>
      </c>
      <c r="F150" t="s">
        <v>33</v>
      </c>
      <c r="G150" t="s">
        <v>47</v>
      </c>
      <c r="H150">
        <v>10</v>
      </c>
      <c r="I150">
        <v>66.430000000000007</v>
      </c>
      <c r="J150" s="3">
        <f t="shared" si="16"/>
        <v>66.430000000000007</v>
      </c>
      <c r="K150" t="s">
        <v>17</v>
      </c>
    </row>
    <row r="151" spans="1:11" x14ac:dyDescent="0.25">
      <c r="A151">
        <f t="shared" si="17"/>
        <v>149</v>
      </c>
      <c r="B151">
        <v>151</v>
      </c>
      <c r="C151" t="str">
        <f t="shared" si="14"/>
        <v>INCOMPLETA</v>
      </c>
      <c r="D151" t="str">
        <f t="shared" si="15"/>
        <v>ERRO</v>
      </c>
      <c r="E151" s="1" t="s">
        <v>116</v>
      </c>
      <c r="F151" t="s">
        <v>33</v>
      </c>
      <c r="G151" t="s">
        <v>19</v>
      </c>
      <c r="H151">
        <v>-3</v>
      </c>
      <c r="I151" s="2"/>
      <c r="J151" s="3" t="str">
        <f t="shared" si="16"/>
        <v/>
      </c>
      <c r="K151" t="s">
        <v>49</v>
      </c>
    </row>
    <row r="152" spans="1:11" x14ac:dyDescent="0.25">
      <c r="A152">
        <f t="shared" si="17"/>
        <v>150</v>
      </c>
      <c r="B152">
        <v>152</v>
      </c>
      <c r="C152" t="str">
        <f t="shared" si="14"/>
        <v>INCOMPLETA</v>
      </c>
      <c r="D152" t="str">
        <f t="shared" si="15"/>
        <v>ERRO</v>
      </c>
      <c r="E152" s="1" t="s">
        <v>137</v>
      </c>
      <c r="F152" t="s">
        <v>12</v>
      </c>
      <c r="G152" t="s">
        <v>47</v>
      </c>
      <c r="H152">
        <v>10</v>
      </c>
      <c r="I152" s="2"/>
      <c r="J152" s="3" t="str">
        <f t="shared" si="16"/>
        <v/>
      </c>
      <c r="K152" t="s">
        <v>21</v>
      </c>
    </row>
    <row r="153" spans="1:11" x14ac:dyDescent="0.25">
      <c r="A153">
        <f t="shared" si="17"/>
        <v>151</v>
      </c>
      <c r="B153">
        <v>153</v>
      </c>
      <c r="C153" t="str">
        <f t="shared" si="14"/>
        <v>INCOMPLETA</v>
      </c>
      <c r="D153" t="str">
        <f t="shared" si="15"/>
        <v>ERRO</v>
      </c>
      <c r="E153" s="1" t="s">
        <v>130</v>
      </c>
      <c r="H153">
        <v>10</v>
      </c>
      <c r="I153" s="2"/>
      <c r="J153" s="3" t="str">
        <f t="shared" si="16"/>
        <v/>
      </c>
      <c r="K153" t="s">
        <v>13</v>
      </c>
    </row>
    <row r="154" spans="1:11" x14ac:dyDescent="0.25">
      <c r="A154">
        <f t="shared" si="17"/>
        <v>152</v>
      </c>
      <c r="B154">
        <v>154</v>
      </c>
      <c r="C154" t="str">
        <f t="shared" si="14"/>
        <v>INCOMPLETA</v>
      </c>
      <c r="D154" t="str">
        <f t="shared" si="15"/>
        <v>ERRO</v>
      </c>
      <c r="E154" s="1" t="s">
        <v>138</v>
      </c>
      <c r="F154" t="s">
        <v>26</v>
      </c>
      <c r="G154" t="s">
        <v>15</v>
      </c>
      <c r="I154" s="2">
        <v>382.51</v>
      </c>
      <c r="J154" s="3">
        <f t="shared" si="16"/>
        <v>382.51</v>
      </c>
      <c r="K154" t="s">
        <v>13</v>
      </c>
    </row>
    <row r="155" spans="1:11" x14ac:dyDescent="0.25">
      <c r="A155">
        <f t="shared" si="17"/>
        <v>153</v>
      </c>
      <c r="B155">
        <v>155</v>
      </c>
      <c r="C155" t="str">
        <f t="shared" si="14"/>
        <v>INCOMPLETA</v>
      </c>
      <c r="D155" t="str">
        <f t="shared" si="15"/>
        <v>ERRO</v>
      </c>
      <c r="E155" s="1" t="s">
        <v>139</v>
      </c>
      <c r="F155" t="s">
        <v>33</v>
      </c>
      <c r="G155" t="s">
        <v>31</v>
      </c>
      <c r="H155">
        <v>-3</v>
      </c>
      <c r="I155" s="2" t="s">
        <v>35</v>
      </c>
      <c r="J155" s="3" t="str">
        <f t="shared" si="16"/>
        <v>R$ 30</v>
      </c>
    </row>
    <row r="156" spans="1:11" x14ac:dyDescent="0.25">
      <c r="A156">
        <f t="shared" si="17"/>
        <v>154</v>
      </c>
      <c r="B156">
        <v>156</v>
      </c>
      <c r="C156" t="str">
        <f t="shared" si="14"/>
        <v>COMPLETA</v>
      </c>
      <c r="D156" t="str">
        <f t="shared" si="15"/>
        <v>OK</v>
      </c>
      <c r="E156" t="s">
        <v>42</v>
      </c>
      <c r="F156" t="s">
        <v>12</v>
      </c>
      <c r="G156" t="s">
        <v>31</v>
      </c>
      <c r="H156">
        <v>10</v>
      </c>
      <c r="I156">
        <v>400.2</v>
      </c>
      <c r="J156" s="3">
        <f t="shared" si="16"/>
        <v>400.2</v>
      </c>
      <c r="K156" t="s">
        <v>17</v>
      </c>
    </row>
    <row r="157" spans="1:11" x14ac:dyDescent="0.25">
      <c r="A157">
        <f t="shared" si="17"/>
        <v>155</v>
      </c>
      <c r="B157">
        <v>157</v>
      </c>
      <c r="C157" t="str">
        <f t="shared" si="14"/>
        <v>COMPLETA</v>
      </c>
      <c r="D157" t="str">
        <f t="shared" si="15"/>
        <v>ERRO</v>
      </c>
      <c r="E157" s="1" t="s">
        <v>135</v>
      </c>
      <c r="F157" t="s">
        <v>33</v>
      </c>
      <c r="G157" t="s">
        <v>31</v>
      </c>
      <c r="H157">
        <v>2</v>
      </c>
      <c r="I157" s="2" t="s">
        <v>35</v>
      </c>
      <c r="J157" s="3" t="str">
        <f t="shared" si="16"/>
        <v>R$ 30</v>
      </c>
      <c r="K157" t="s">
        <v>21</v>
      </c>
    </row>
    <row r="158" spans="1:11" x14ac:dyDescent="0.25">
      <c r="A158">
        <f t="shared" si="17"/>
        <v>156</v>
      </c>
      <c r="B158">
        <v>158</v>
      </c>
      <c r="C158" t="str">
        <f t="shared" si="14"/>
        <v>INCOMPLETA</v>
      </c>
      <c r="D158" t="str">
        <f t="shared" si="15"/>
        <v>ERRO</v>
      </c>
      <c r="E158" s="1" t="s">
        <v>91</v>
      </c>
      <c r="H158">
        <v>-3</v>
      </c>
      <c r="I158" s="2">
        <v>294.36</v>
      </c>
      <c r="J158" s="3">
        <f t="shared" si="16"/>
        <v>294.36</v>
      </c>
      <c r="K158" t="s">
        <v>49</v>
      </c>
    </row>
    <row r="159" spans="1:11" x14ac:dyDescent="0.25">
      <c r="A159">
        <f t="shared" si="17"/>
        <v>157</v>
      </c>
      <c r="B159">
        <v>159</v>
      </c>
      <c r="C159" t="str">
        <f t="shared" si="14"/>
        <v>COMPLETA</v>
      </c>
      <c r="D159" t="str">
        <f t="shared" si="15"/>
        <v>ERRO</v>
      </c>
      <c r="E159" s="1" t="s">
        <v>45</v>
      </c>
      <c r="F159" t="s">
        <v>26</v>
      </c>
      <c r="G159" t="s">
        <v>19</v>
      </c>
      <c r="H159">
        <v>-3</v>
      </c>
      <c r="I159" s="2">
        <v>255.67</v>
      </c>
      <c r="J159" s="3">
        <f t="shared" si="16"/>
        <v>255.67</v>
      </c>
      <c r="K159" t="s">
        <v>49</v>
      </c>
    </row>
    <row r="160" spans="1:11" x14ac:dyDescent="0.25">
      <c r="A160">
        <f t="shared" si="17"/>
        <v>158</v>
      </c>
      <c r="B160">
        <v>160</v>
      </c>
      <c r="C160" t="str">
        <f t="shared" si="14"/>
        <v>INCOMPLETA</v>
      </c>
      <c r="D160" t="str">
        <f t="shared" si="15"/>
        <v>ERRO</v>
      </c>
      <c r="E160" s="1" t="s">
        <v>140</v>
      </c>
      <c r="F160" t="s">
        <v>12</v>
      </c>
      <c r="H160">
        <v>6</v>
      </c>
      <c r="I160" s="2">
        <v>-10</v>
      </c>
      <c r="J160" s="3" t="str">
        <f t="shared" si="16"/>
        <v/>
      </c>
      <c r="K160" t="s">
        <v>49</v>
      </c>
    </row>
    <row r="161" spans="1:11" x14ac:dyDescent="0.25">
      <c r="A161">
        <f t="shared" si="17"/>
        <v>159</v>
      </c>
      <c r="B161">
        <v>161</v>
      </c>
      <c r="C161" t="str">
        <f t="shared" si="14"/>
        <v>INCOMPLETA</v>
      </c>
      <c r="D161" t="str">
        <f t="shared" si="15"/>
        <v>ERRO</v>
      </c>
      <c r="E161" s="1" t="s">
        <v>141</v>
      </c>
      <c r="F161" t="s">
        <v>26</v>
      </c>
      <c r="G161" t="s">
        <v>19</v>
      </c>
      <c r="H161">
        <v>10</v>
      </c>
      <c r="I161" s="2" t="s">
        <v>35</v>
      </c>
      <c r="J161" s="3" t="str">
        <f t="shared" si="16"/>
        <v>R$ 30</v>
      </c>
    </row>
    <row r="162" spans="1:11" x14ac:dyDescent="0.25">
      <c r="A162">
        <f t="shared" si="17"/>
        <v>160</v>
      </c>
      <c r="B162">
        <v>162</v>
      </c>
      <c r="C162" t="str">
        <f t="shared" ref="C162:C193" si="18">IF(AND(B162&lt;&gt;"",E162&lt;&gt;"",F162&lt;&gt;"",G162&lt;&gt;"",H162&lt;&gt;"",J162&lt;&gt;"",K162&lt;&gt;""),"COMPLETA","INCOMPLETA")</f>
        <v>INCOMPLETA</v>
      </c>
      <c r="D162" t="str">
        <f t="shared" ref="D162:D193" si="19">IF(AND(C162="COMPLETA", ISNUMBER(H162), H162&gt;0, ISNUMBER(J162), J162&gt;0), "OK", "ERRO")</f>
        <v>ERRO</v>
      </c>
      <c r="E162" s="1" t="s">
        <v>76</v>
      </c>
      <c r="F162" t="s">
        <v>8</v>
      </c>
      <c r="G162" t="s">
        <v>23</v>
      </c>
      <c r="H162">
        <v>11</v>
      </c>
      <c r="I162" s="2">
        <v>-10</v>
      </c>
      <c r="J162" s="3" t="str">
        <f t="shared" ref="J162:J193" si="20">IF(I162&gt;0, I162, "")</f>
        <v/>
      </c>
      <c r="K162" t="s">
        <v>17</v>
      </c>
    </row>
    <row r="163" spans="1:11" x14ac:dyDescent="0.25">
      <c r="A163">
        <f t="shared" si="17"/>
        <v>161</v>
      </c>
      <c r="B163">
        <v>163</v>
      </c>
      <c r="C163" t="str">
        <f t="shared" si="18"/>
        <v>INCOMPLETA</v>
      </c>
      <c r="D163" t="str">
        <f t="shared" si="19"/>
        <v>ERRO</v>
      </c>
      <c r="E163" s="1" t="s">
        <v>142</v>
      </c>
      <c r="G163" t="s">
        <v>15</v>
      </c>
      <c r="H163">
        <v>11</v>
      </c>
      <c r="I163" s="2"/>
      <c r="J163" s="3" t="str">
        <f t="shared" si="20"/>
        <v/>
      </c>
      <c r="K163" t="s">
        <v>17</v>
      </c>
    </row>
    <row r="164" spans="1:11" x14ac:dyDescent="0.25">
      <c r="A164">
        <f t="shared" si="17"/>
        <v>162</v>
      </c>
      <c r="B164">
        <v>164</v>
      </c>
      <c r="C164" t="str">
        <f t="shared" si="18"/>
        <v>INCOMPLETA</v>
      </c>
      <c r="D164" t="str">
        <f t="shared" si="19"/>
        <v>ERRO</v>
      </c>
      <c r="E164" s="1" t="s">
        <v>143</v>
      </c>
      <c r="F164" t="s">
        <v>33</v>
      </c>
      <c r="G164" t="s">
        <v>15</v>
      </c>
      <c r="H164">
        <v>20</v>
      </c>
      <c r="I164" s="2">
        <v>-10</v>
      </c>
      <c r="J164" s="3" t="str">
        <f t="shared" si="20"/>
        <v/>
      </c>
    </row>
    <row r="165" spans="1:11" x14ac:dyDescent="0.25">
      <c r="A165">
        <f t="shared" si="17"/>
        <v>163</v>
      </c>
      <c r="B165">
        <v>165</v>
      </c>
      <c r="C165" t="str">
        <f t="shared" si="18"/>
        <v>INCOMPLETA</v>
      </c>
      <c r="D165" t="str">
        <f t="shared" si="19"/>
        <v>ERRO</v>
      </c>
      <c r="E165" s="1" t="s">
        <v>127</v>
      </c>
      <c r="G165" t="s">
        <v>23</v>
      </c>
      <c r="H165">
        <v>10</v>
      </c>
      <c r="I165" s="2" t="s">
        <v>35</v>
      </c>
      <c r="J165" s="3" t="str">
        <f t="shared" si="20"/>
        <v>R$ 30</v>
      </c>
      <c r="K165" t="s">
        <v>13</v>
      </c>
    </row>
    <row r="166" spans="1:11" x14ac:dyDescent="0.25">
      <c r="A166">
        <f t="shared" si="17"/>
        <v>164</v>
      </c>
      <c r="B166">
        <v>165</v>
      </c>
      <c r="C166" t="str">
        <f t="shared" si="18"/>
        <v>COMPLETA</v>
      </c>
      <c r="D166" t="str">
        <f t="shared" si="19"/>
        <v>ERRO</v>
      </c>
      <c r="E166" s="1" t="s">
        <v>148</v>
      </c>
      <c r="F166" t="s">
        <v>8</v>
      </c>
      <c r="G166" t="s">
        <v>19</v>
      </c>
      <c r="H166">
        <v>10</v>
      </c>
      <c r="I166" s="2" t="s">
        <v>35</v>
      </c>
      <c r="J166" s="3" t="str">
        <f t="shared" si="20"/>
        <v>R$ 30</v>
      </c>
      <c r="K166" t="s">
        <v>49</v>
      </c>
    </row>
    <row r="167" spans="1:11" x14ac:dyDescent="0.25">
      <c r="A167">
        <f t="shared" si="17"/>
        <v>165</v>
      </c>
      <c r="B167">
        <v>166</v>
      </c>
      <c r="C167" t="str">
        <f t="shared" si="18"/>
        <v>INCOMPLETA</v>
      </c>
      <c r="D167" t="str">
        <f t="shared" si="19"/>
        <v>ERRO</v>
      </c>
      <c r="E167" s="1" t="s">
        <v>140</v>
      </c>
      <c r="F167" t="s">
        <v>33</v>
      </c>
      <c r="G167" t="s">
        <v>9</v>
      </c>
      <c r="I167" s="2" t="s">
        <v>35</v>
      </c>
      <c r="J167" s="3" t="str">
        <f t="shared" si="20"/>
        <v>R$ 30</v>
      </c>
      <c r="K167" t="s">
        <v>21</v>
      </c>
    </row>
    <row r="168" spans="1:11" x14ac:dyDescent="0.25">
      <c r="A168">
        <f t="shared" si="17"/>
        <v>166</v>
      </c>
      <c r="B168">
        <v>166</v>
      </c>
      <c r="C168" t="str">
        <f t="shared" si="18"/>
        <v>INCOMPLETA</v>
      </c>
      <c r="D168" t="str">
        <f t="shared" si="19"/>
        <v>ERRO</v>
      </c>
      <c r="E168" s="1" t="s">
        <v>118</v>
      </c>
      <c r="G168" t="s">
        <v>37</v>
      </c>
      <c r="I168" s="2"/>
      <c r="J168" s="3" t="str">
        <f t="shared" si="20"/>
        <v/>
      </c>
      <c r="K168" t="s">
        <v>13</v>
      </c>
    </row>
    <row r="169" spans="1:11" x14ac:dyDescent="0.25">
      <c r="A169">
        <f t="shared" si="17"/>
        <v>167</v>
      </c>
      <c r="B169">
        <v>168</v>
      </c>
      <c r="C169" t="str">
        <f t="shared" si="18"/>
        <v>INCOMPLETA</v>
      </c>
      <c r="D169" t="str">
        <f t="shared" si="19"/>
        <v>ERRO</v>
      </c>
      <c r="E169" s="1" t="s">
        <v>103</v>
      </c>
      <c r="G169" t="s">
        <v>15</v>
      </c>
      <c r="H169">
        <v>15</v>
      </c>
      <c r="I169" s="2"/>
      <c r="J169" s="3" t="str">
        <f t="shared" si="20"/>
        <v/>
      </c>
      <c r="K169" t="s">
        <v>49</v>
      </c>
    </row>
    <row r="170" spans="1:11" x14ac:dyDescent="0.25">
      <c r="A170">
        <f t="shared" si="17"/>
        <v>168</v>
      </c>
      <c r="B170">
        <v>169</v>
      </c>
      <c r="C170" t="str">
        <f t="shared" si="18"/>
        <v>INCOMPLETA</v>
      </c>
      <c r="D170" t="str">
        <f t="shared" si="19"/>
        <v>ERRO</v>
      </c>
      <c r="E170" s="1" t="s">
        <v>77</v>
      </c>
      <c r="F170" t="s">
        <v>33</v>
      </c>
      <c r="G170" t="s">
        <v>9</v>
      </c>
      <c r="I170" s="2">
        <v>-10</v>
      </c>
      <c r="J170" s="3" t="str">
        <f t="shared" si="20"/>
        <v/>
      </c>
      <c r="K170" t="s">
        <v>13</v>
      </c>
    </row>
    <row r="171" spans="1:11" x14ac:dyDescent="0.25">
      <c r="A171">
        <f t="shared" si="17"/>
        <v>169</v>
      </c>
      <c r="B171">
        <v>170</v>
      </c>
      <c r="C171" t="str">
        <f t="shared" si="18"/>
        <v>INCOMPLETA</v>
      </c>
      <c r="D171" t="str">
        <f t="shared" si="19"/>
        <v>ERRO</v>
      </c>
      <c r="E171" s="1" t="s">
        <v>45</v>
      </c>
      <c r="F171" t="s">
        <v>33</v>
      </c>
      <c r="G171" t="s">
        <v>31</v>
      </c>
      <c r="H171">
        <v>-3</v>
      </c>
      <c r="I171" s="2">
        <v>-10</v>
      </c>
      <c r="J171" s="3" t="str">
        <f t="shared" si="20"/>
        <v/>
      </c>
      <c r="K171" t="s">
        <v>13</v>
      </c>
    </row>
    <row r="172" spans="1:11" x14ac:dyDescent="0.25">
      <c r="A172">
        <f t="shared" si="17"/>
        <v>170</v>
      </c>
      <c r="B172">
        <v>171</v>
      </c>
      <c r="C172" t="str">
        <f t="shared" si="18"/>
        <v>INCOMPLETA</v>
      </c>
      <c r="D172" t="str">
        <f t="shared" si="19"/>
        <v>ERRO</v>
      </c>
      <c r="E172" s="1" t="s">
        <v>100</v>
      </c>
      <c r="F172" t="s">
        <v>26</v>
      </c>
      <c r="G172" t="s">
        <v>53</v>
      </c>
      <c r="H172">
        <v>-3</v>
      </c>
      <c r="I172" s="2">
        <v>438.32</v>
      </c>
      <c r="J172" s="3">
        <f t="shared" si="20"/>
        <v>438.32</v>
      </c>
    </row>
    <row r="173" spans="1:11" x14ac:dyDescent="0.25">
      <c r="A173">
        <f t="shared" si="17"/>
        <v>171</v>
      </c>
      <c r="B173">
        <v>172</v>
      </c>
      <c r="C173" t="str">
        <f t="shared" si="18"/>
        <v>INCOMPLETA</v>
      </c>
      <c r="D173" t="str">
        <f t="shared" si="19"/>
        <v>ERRO</v>
      </c>
      <c r="E173" s="1" t="s">
        <v>71</v>
      </c>
      <c r="F173" t="s">
        <v>8</v>
      </c>
      <c r="G173" t="s">
        <v>23</v>
      </c>
      <c r="H173">
        <v>10</v>
      </c>
      <c r="I173" s="2"/>
      <c r="J173" s="3" t="str">
        <f t="shared" si="20"/>
        <v/>
      </c>
      <c r="K173" t="s">
        <v>49</v>
      </c>
    </row>
    <row r="174" spans="1:11" x14ac:dyDescent="0.25">
      <c r="A174">
        <f t="shared" si="17"/>
        <v>172</v>
      </c>
      <c r="B174">
        <v>174</v>
      </c>
      <c r="C174" t="str">
        <f t="shared" si="18"/>
        <v>COMPLETA</v>
      </c>
      <c r="D174" t="str">
        <f t="shared" si="19"/>
        <v>ERRO</v>
      </c>
      <c r="E174" s="1" t="s">
        <v>144</v>
      </c>
      <c r="F174" t="s">
        <v>8</v>
      </c>
      <c r="G174" t="s">
        <v>9</v>
      </c>
      <c r="H174">
        <v>10</v>
      </c>
      <c r="I174" s="2" t="s">
        <v>35</v>
      </c>
      <c r="J174" s="3" t="str">
        <f t="shared" si="20"/>
        <v>R$ 30</v>
      </c>
      <c r="K174" t="s">
        <v>13</v>
      </c>
    </row>
    <row r="175" spans="1:11" x14ac:dyDescent="0.25">
      <c r="A175">
        <f t="shared" si="17"/>
        <v>173</v>
      </c>
      <c r="B175">
        <v>175</v>
      </c>
      <c r="C175" t="str">
        <f t="shared" si="18"/>
        <v>INCOMPLETA</v>
      </c>
      <c r="D175" t="str">
        <f t="shared" si="19"/>
        <v>ERRO</v>
      </c>
      <c r="E175" s="1" t="s">
        <v>115</v>
      </c>
      <c r="F175" t="s">
        <v>12</v>
      </c>
      <c r="G175" t="s">
        <v>31</v>
      </c>
      <c r="I175" s="2" t="s">
        <v>35</v>
      </c>
      <c r="J175" s="3" t="str">
        <f t="shared" si="20"/>
        <v>R$ 30</v>
      </c>
      <c r="K175" t="s">
        <v>13</v>
      </c>
    </row>
    <row r="176" spans="1:11" x14ac:dyDescent="0.25">
      <c r="A176">
        <f t="shared" si="17"/>
        <v>174</v>
      </c>
      <c r="B176">
        <v>175</v>
      </c>
      <c r="C176" t="str">
        <f t="shared" si="18"/>
        <v>INCOMPLETA</v>
      </c>
      <c r="D176" t="str">
        <f t="shared" si="19"/>
        <v>ERRO</v>
      </c>
      <c r="E176" s="1" t="s">
        <v>123</v>
      </c>
      <c r="G176" t="s">
        <v>19</v>
      </c>
      <c r="H176">
        <v>-3</v>
      </c>
      <c r="I176" s="2">
        <v>145.18</v>
      </c>
      <c r="J176" s="3">
        <f t="shared" si="20"/>
        <v>145.18</v>
      </c>
      <c r="K176" t="s">
        <v>49</v>
      </c>
    </row>
    <row r="177" spans="1:11" x14ac:dyDescent="0.25">
      <c r="A177">
        <f t="shared" si="17"/>
        <v>175</v>
      </c>
      <c r="B177">
        <v>175</v>
      </c>
      <c r="C177" t="str">
        <f t="shared" si="18"/>
        <v>COMPLETA</v>
      </c>
      <c r="D177" t="str">
        <f t="shared" si="19"/>
        <v>ERRO</v>
      </c>
      <c r="E177" s="1" t="s">
        <v>111</v>
      </c>
      <c r="F177" t="s">
        <v>33</v>
      </c>
      <c r="G177" t="s">
        <v>15</v>
      </c>
      <c r="H177">
        <v>-3</v>
      </c>
      <c r="I177" s="2">
        <v>311.52</v>
      </c>
      <c r="J177" s="3">
        <f t="shared" si="20"/>
        <v>311.52</v>
      </c>
      <c r="K177" t="s">
        <v>21</v>
      </c>
    </row>
    <row r="178" spans="1:11" x14ac:dyDescent="0.25">
      <c r="A178">
        <f t="shared" si="17"/>
        <v>176</v>
      </c>
      <c r="B178">
        <v>176</v>
      </c>
      <c r="C178" t="str">
        <f t="shared" si="18"/>
        <v>INCOMPLETA</v>
      </c>
      <c r="D178" t="str">
        <f t="shared" si="19"/>
        <v>ERRO</v>
      </c>
      <c r="E178" s="1" t="s">
        <v>145</v>
      </c>
      <c r="H178">
        <v>14</v>
      </c>
      <c r="I178" s="2"/>
      <c r="J178" s="3" t="str">
        <f t="shared" si="20"/>
        <v/>
      </c>
      <c r="K178" t="s">
        <v>17</v>
      </c>
    </row>
    <row r="179" spans="1:11" x14ac:dyDescent="0.25">
      <c r="A179">
        <f t="shared" si="17"/>
        <v>177</v>
      </c>
      <c r="B179">
        <v>177</v>
      </c>
      <c r="C179" t="str">
        <f t="shared" si="18"/>
        <v>INCOMPLETA</v>
      </c>
      <c r="D179" t="str">
        <f t="shared" si="19"/>
        <v>ERRO</v>
      </c>
      <c r="E179" s="1" t="s">
        <v>109</v>
      </c>
      <c r="F179" t="s">
        <v>33</v>
      </c>
      <c r="G179" t="s">
        <v>31</v>
      </c>
      <c r="H179">
        <v>3</v>
      </c>
      <c r="I179" s="2">
        <v>-10</v>
      </c>
      <c r="J179" s="3" t="str">
        <f t="shared" si="20"/>
        <v/>
      </c>
      <c r="K179" t="s">
        <v>10</v>
      </c>
    </row>
    <row r="180" spans="1:11" x14ac:dyDescent="0.25">
      <c r="A180">
        <f t="shared" si="17"/>
        <v>178</v>
      </c>
      <c r="B180">
        <v>178</v>
      </c>
      <c r="C180" t="str">
        <f t="shared" si="18"/>
        <v>INCOMPLETA</v>
      </c>
      <c r="D180" t="str">
        <f t="shared" si="19"/>
        <v>ERRO</v>
      </c>
      <c r="E180" s="1" t="s">
        <v>76</v>
      </c>
      <c r="G180" t="s">
        <v>9</v>
      </c>
      <c r="H180">
        <v>10</v>
      </c>
      <c r="I180" s="2" t="s">
        <v>35</v>
      </c>
      <c r="J180" s="3" t="str">
        <f t="shared" si="20"/>
        <v>R$ 30</v>
      </c>
      <c r="K180" t="s">
        <v>13</v>
      </c>
    </row>
    <row r="181" spans="1:11" x14ac:dyDescent="0.25">
      <c r="A181">
        <f t="shared" si="17"/>
        <v>179</v>
      </c>
      <c r="B181">
        <v>179</v>
      </c>
      <c r="C181" t="str">
        <f t="shared" si="18"/>
        <v>INCOMPLETA</v>
      </c>
      <c r="D181" t="str">
        <f t="shared" si="19"/>
        <v>ERRO</v>
      </c>
      <c r="E181" s="1" t="s">
        <v>146</v>
      </c>
      <c r="F181" t="s">
        <v>12</v>
      </c>
      <c r="H181">
        <v>12</v>
      </c>
      <c r="I181" s="2">
        <v>477.17</v>
      </c>
      <c r="J181" s="3">
        <f t="shared" si="20"/>
        <v>477.17</v>
      </c>
      <c r="K181" t="s">
        <v>49</v>
      </c>
    </row>
    <row r="182" spans="1:11" x14ac:dyDescent="0.25">
      <c r="A182">
        <f t="shared" si="17"/>
        <v>180</v>
      </c>
      <c r="B182">
        <v>180</v>
      </c>
      <c r="C182" t="str">
        <f t="shared" si="18"/>
        <v>COMPLETA</v>
      </c>
      <c r="D182" t="str">
        <f t="shared" si="19"/>
        <v>OK</v>
      </c>
      <c r="E182" t="s">
        <v>147</v>
      </c>
      <c r="F182" t="s">
        <v>33</v>
      </c>
      <c r="G182" t="s">
        <v>19</v>
      </c>
      <c r="H182">
        <v>9</v>
      </c>
      <c r="I182">
        <v>184.98</v>
      </c>
      <c r="J182" s="3">
        <f t="shared" si="20"/>
        <v>184.98</v>
      </c>
      <c r="K182" t="s">
        <v>17</v>
      </c>
    </row>
    <row r="183" spans="1:11" x14ac:dyDescent="0.25">
      <c r="A183">
        <f t="shared" si="17"/>
        <v>181</v>
      </c>
      <c r="B183">
        <v>181</v>
      </c>
      <c r="C183" t="str">
        <f t="shared" si="18"/>
        <v>INCOMPLETA</v>
      </c>
      <c r="D183" t="str">
        <f t="shared" si="19"/>
        <v>ERRO</v>
      </c>
      <c r="E183" s="1" t="s">
        <v>142</v>
      </c>
      <c r="F183" t="s">
        <v>12</v>
      </c>
      <c r="G183" t="s">
        <v>19</v>
      </c>
      <c r="H183">
        <v>5</v>
      </c>
      <c r="I183" s="2" t="s">
        <v>35</v>
      </c>
      <c r="J183" s="3" t="str">
        <f t="shared" si="20"/>
        <v>R$ 30</v>
      </c>
    </row>
    <row r="184" spans="1:11" x14ac:dyDescent="0.25">
      <c r="A184">
        <f t="shared" si="17"/>
        <v>182</v>
      </c>
      <c r="B184">
        <v>182</v>
      </c>
      <c r="C184" t="str">
        <f t="shared" si="18"/>
        <v>INCOMPLETA</v>
      </c>
      <c r="D184" t="str">
        <f t="shared" si="19"/>
        <v>ERRO</v>
      </c>
      <c r="E184" s="1" t="s">
        <v>115</v>
      </c>
      <c r="F184" t="s">
        <v>33</v>
      </c>
      <c r="G184" t="s">
        <v>31</v>
      </c>
      <c r="I184" s="2">
        <v>-10</v>
      </c>
      <c r="J184" s="3" t="str">
        <f t="shared" si="20"/>
        <v/>
      </c>
      <c r="K184" t="s">
        <v>21</v>
      </c>
    </row>
    <row r="185" spans="1:11" x14ac:dyDescent="0.25">
      <c r="A185">
        <f t="shared" si="17"/>
        <v>183</v>
      </c>
      <c r="B185">
        <v>183</v>
      </c>
      <c r="C185" t="str">
        <f t="shared" si="18"/>
        <v>INCOMPLETA</v>
      </c>
      <c r="D185" t="str">
        <f t="shared" si="19"/>
        <v>ERRO</v>
      </c>
      <c r="E185" s="1" t="s">
        <v>147</v>
      </c>
      <c r="F185" t="s">
        <v>26</v>
      </c>
      <c r="G185" t="s">
        <v>37</v>
      </c>
      <c r="H185">
        <v>10</v>
      </c>
      <c r="I185" s="2">
        <v>-10</v>
      </c>
      <c r="J185" s="3" t="str">
        <f t="shared" si="20"/>
        <v/>
      </c>
      <c r="K185" t="s">
        <v>17</v>
      </c>
    </row>
    <row r="186" spans="1:11" x14ac:dyDescent="0.25">
      <c r="A186">
        <f t="shared" si="17"/>
        <v>184</v>
      </c>
      <c r="B186">
        <v>185</v>
      </c>
      <c r="C186" t="str">
        <f t="shared" si="18"/>
        <v>INCOMPLETA</v>
      </c>
      <c r="D186" t="str">
        <f t="shared" si="19"/>
        <v>ERRO</v>
      </c>
      <c r="E186" s="1" t="s">
        <v>149</v>
      </c>
      <c r="F186" t="s">
        <v>33</v>
      </c>
      <c r="G186" t="s">
        <v>47</v>
      </c>
      <c r="I186" s="2">
        <v>-10</v>
      </c>
      <c r="J186" s="3" t="str">
        <f t="shared" si="20"/>
        <v/>
      </c>
      <c r="K186" t="s">
        <v>17</v>
      </c>
    </row>
    <row r="187" spans="1:11" x14ac:dyDescent="0.25">
      <c r="A187">
        <f t="shared" si="17"/>
        <v>185</v>
      </c>
      <c r="B187">
        <v>186</v>
      </c>
      <c r="C187" t="str">
        <f t="shared" si="18"/>
        <v>INCOMPLETA</v>
      </c>
      <c r="D187" t="str">
        <f t="shared" si="19"/>
        <v>ERRO</v>
      </c>
      <c r="E187" s="1" t="s">
        <v>150</v>
      </c>
      <c r="F187" t="s">
        <v>8</v>
      </c>
      <c r="G187" t="s">
        <v>23</v>
      </c>
      <c r="H187">
        <v>14</v>
      </c>
      <c r="I187" s="2"/>
      <c r="J187" s="3" t="str">
        <f t="shared" si="20"/>
        <v/>
      </c>
      <c r="K187" t="s">
        <v>10</v>
      </c>
    </row>
    <row r="188" spans="1:11" x14ac:dyDescent="0.25">
      <c r="A188">
        <f t="shared" si="17"/>
        <v>186</v>
      </c>
      <c r="B188">
        <v>187</v>
      </c>
      <c r="C188" t="str">
        <f t="shared" si="18"/>
        <v>INCOMPLETA</v>
      </c>
      <c r="D188" t="str">
        <f t="shared" si="19"/>
        <v>ERRO</v>
      </c>
      <c r="E188" s="1" t="s">
        <v>151</v>
      </c>
      <c r="F188" t="s">
        <v>12</v>
      </c>
      <c r="G188" t="s">
        <v>19</v>
      </c>
      <c r="H188">
        <v>10</v>
      </c>
      <c r="I188" s="2">
        <v>-10</v>
      </c>
      <c r="J188" s="3" t="str">
        <f t="shared" si="20"/>
        <v/>
      </c>
      <c r="K188" t="s">
        <v>13</v>
      </c>
    </row>
    <row r="189" spans="1:11" x14ac:dyDescent="0.25">
      <c r="A189">
        <f t="shared" si="17"/>
        <v>187</v>
      </c>
      <c r="B189">
        <v>188</v>
      </c>
      <c r="C189" t="str">
        <f t="shared" si="18"/>
        <v>INCOMPLETA</v>
      </c>
      <c r="D189" t="str">
        <f t="shared" si="19"/>
        <v>ERRO</v>
      </c>
      <c r="E189" s="1" t="s">
        <v>66</v>
      </c>
      <c r="F189" t="s">
        <v>33</v>
      </c>
      <c r="G189" t="s">
        <v>9</v>
      </c>
      <c r="I189" s="2">
        <v>395.81</v>
      </c>
      <c r="J189" s="3">
        <f t="shared" si="20"/>
        <v>395.81</v>
      </c>
      <c r="K189" t="s">
        <v>49</v>
      </c>
    </row>
    <row r="190" spans="1:11" x14ac:dyDescent="0.25">
      <c r="A190">
        <f t="shared" si="17"/>
        <v>188</v>
      </c>
      <c r="B190">
        <v>188</v>
      </c>
      <c r="C190" t="str">
        <f t="shared" si="18"/>
        <v>COMPLETA</v>
      </c>
      <c r="D190" t="str">
        <f t="shared" si="19"/>
        <v>ERRO</v>
      </c>
      <c r="E190" s="1" t="s">
        <v>152</v>
      </c>
      <c r="F190" t="s">
        <v>33</v>
      </c>
      <c r="G190" t="s">
        <v>37</v>
      </c>
      <c r="H190">
        <v>-3</v>
      </c>
      <c r="I190" s="2">
        <v>144.53</v>
      </c>
      <c r="J190" s="3">
        <f t="shared" si="20"/>
        <v>144.53</v>
      </c>
      <c r="K190" t="s">
        <v>21</v>
      </c>
    </row>
    <row r="191" spans="1:11" x14ac:dyDescent="0.25">
      <c r="A191">
        <f t="shared" si="17"/>
        <v>189</v>
      </c>
      <c r="B191">
        <v>189</v>
      </c>
      <c r="C191" t="str">
        <f t="shared" si="18"/>
        <v>INCOMPLETA</v>
      </c>
      <c r="D191" t="str">
        <f t="shared" si="19"/>
        <v>ERRO</v>
      </c>
      <c r="E191" s="1" t="s">
        <v>56</v>
      </c>
      <c r="F191" t="s">
        <v>8</v>
      </c>
      <c r="H191">
        <v>6</v>
      </c>
      <c r="I191" s="2">
        <v>-10</v>
      </c>
      <c r="J191" s="3" t="str">
        <f t="shared" si="20"/>
        <v/>
      </c>
      <c r="K191" t="s">
        <v>21</v>
      </c>
    </row>
    <row r="192" spans="1:11" x14ac:dyDescent="0.25">
      <c r="A192">
        <f t="shared" si="17"/>
        <v>190</v>
      </c>
      <c r="B192">
        <v>190</v>
      </c>
      <c r="C192" t="str">
        <f t="shared" si="18"/>
        <v>INCOMPLETA</v>
      </c>
      <c r="D192" t="str">
        <f t="shared" si="19"/>
        <v>ERRO</v>
      </c>
      <c r="E192" s="1" t="s">
        <v>51</v>
      </c>
      <c r="F192" t="s">
        <v>8</v>
      </c>
      <c r="G192" t="s">
        <v>19</v>
      </c>
      <c r="H192">
        <v>13</v>
      </c>
      <c r="I192" s="2">
        <v>-10</v>
      </c>
      <c r="J192" s="3" t="str">
        <f t="shared" si="20"/>
        <v/>
      </c>
      <c r="K192" t="s">
        <v>17</v>
      </c>
    </row>
    <row r="193" spans="1:11" x14ac:dyDescent="0.25">
      <c r="A193">
        <f t="shared" si="17"/>
        <v>191</v>
      </c>
      <c r="B193">
        <v>191</v>
      </c>
      <c r="C193" t="str">
        <f t="shared" si="18"/>
        <v>COMPLETA</v>
      </c>
      <c r="D193" t="str">
        <f t="shared" si="19"/>
        <v>ERRO</v>
      </c>
      <c r="E193" s="1" t="s">
        <v>125</v>
      </c>
      <c r="F193" t="s">
        <v>12</v>
      </c>
      <c r="G193" t="s">
        <v>15</v>
      </c>
      <c r="H193">
        <v>10</v>
      </c>
      <c r="I193" s="2" t="s">
        <v>35</v>
      </c>
      <c r="J193" s="3" t="str">
        <f t="shared" si="20"/>
        <v>R$ 30</v>
      </c>
      <c r="K193" t="s">
        <v>13</v>
      </c>
    </row>
    <row r="194" spans="1:11" x14ac:dyDescent="0.25">
      <c r="A194">
        <f t="shared" si="17"/>
        <v>192</v>
      </c>
      <c r="B194">
        <v>192</v>
      </c>
      <c r="C194" t="str">
        <f t="shared" ref="C194:C201" si="21">IF(AND(B194&lt;&gt;"",E194&lt;&gt;"",F194&lt;&gt;"",G194&lt;&gt;"",H194&lt;&gt;"",J194&lt;&gt;"",K194&lt;&gt;""),"COMPLETA","INCOMPLETA")</f>
        <v>COMPLETA</v>
      </c>
      <c r="D194" t="str">
        <f t="shared" ref="D194:D201" si="22">IF(AND(C194="COMPLETA", ISNUMBER(H194), H194&gt;0, ISNUMBER(J194), J194&gt;0), "OK", "ERRO")</f>
        <v>ERRO</v>
      </c>
      <c r="E194" s="1" t="s">
        <v>7</v>
      </c>
      <c r="F194" t="s">
        <v>26</v>
      </c>
      <c r="G194" t="s">
        <v>31</v>
      </c>
      <c r="H194">
        <v>-3</v>
      </c>
      <c r="I194" s="2">
        <v>457.64</v>
      </c>
      <c r="J194" s="3">
        <f t="shared" ref="J194:J201" si="23">IF(I194&gt;0, I194, "")</f>
        <v>457.64</v>
      </c>
      <c r="K194" t="s">
        <v>17</v>
      </c>
    </row>
    <row r="195" spans="1:11" x14ac:dyDescent="0.25">
      <c r="A195">
        <f t="shared" ref="A195:A201" si="24">ROW() -2</f>
        <v>193</v>
      </c>
      <c r="B195">
        <v>193</v>
      </c>
      <c r="C195" t="str">
        <f t="shared" si="21"/>
        <v>INCOMPLETA</v>
      </c>
      <c r="D195" t="str">
        <f t="shared" si="22"/>
        <v>ERRO</v>
      </c>
      <c r="E195" s="1" t="s">
        <v>79</v>
      </c>
      <c r="F195" t="s">
        <v>33</v>
      </c>
      <c r="G195" t="s">
        <v>9</v>
      </c>
      <c r="H195">
        <v>10</v>
      </c>
      <c r="I195" s="2">
        <v>-10</v>
      </c>
      <c r="J195" s="3" t="str">
        <f t="shared" si="23"/>
        <v/>
      </c>
      <c r="K195" t="s">
        <v>13</v>
      </c>
    </row>
    <row r="196" spans="1:11" x14ac:dyDescent="0.25">
      <c r="A196">
        <f t="shared" si="24"/>
        <v>194</v>
      </c>
      <c r="B196">
        <v>194</v>
      </c>
      <c r="C196" t="str">
        <f t="shared" si="21"/>
        <v>INCOMPLETA</v>
      </c>
      <c r="D196" t="str">
        <f t="shared" si="22"/>
        <v>ERRO</v>
      </c>
      <c r="E196" s="1" t="s">
        <v>98</v>
      </c>
      <c r="F196" t="s">
        <v>33</v>
      </c>
      <c r="G196" t="s">
        <v>15</v>
      </c>
      <c r="H196">
        <v>15</v>
      </c>
      <c r="I196" s="2" t="s">
        <v>35</v>
      </c>
      <c r="J196" s="3" t="str">
        <f t="shared" si="23"/>
        <v>R$ 30</v>
      </c>
    </row>
    <row r="197" spans="1:11" x14ac:dyDescent="0.25">
      <c r="A197">
        <f t="shared" si="24"/>
        <v>195</v>
      </c>
      <c r="B197">
        <v>195</v>
      </c>
      <c r="C197" t="str">
        <f t="shared" si="21"/>
        <v>INCOMPLETA</v>
      </c>
      <c r="D197" t="str">
        <f t="shared" si="22"/>
        <v>ERRO</v>
      </c>
      <c r="E197" s="1" t="s">
        <v>153</v>
      </c>
      <c r="H197">
        <v>10</v>
      </c>
      <c r="I197" s="2"/>
      <c r="J197" s="3" t="str">
        <f t="shared" si="23"/>
        <v/>
      </c>
      <c r="K197" t="s">
        <v>17</v>
      </c>
    </row>
    <row r="198" spans="1:11" x14ac:dyDescent="0.25">
      <c r="A198">
        <f t="shared" si="24"/>
        <v>196</v>
      </c>
      <c r="B198">
        <v>196</v>
      </c>
      <c r="C198" t="str">
        <f t="shared" si="21"/>
        <v>COMPLETA</v>
      </c>
      <c r="D198" t="str">
        <f t="shared" si="22"/>
        <v>ERRO</v>
      </c>
      <c r="E198" s="1" t="s">
        <v>71</v>
      </c>
      <c r="F198" t="s">
        <v>26</v>
      </c>
      <c r="G198" t="s">
        <v>15</v>
      </c>
      <c r="H198">
        <v>-3</v>
      </c>
      <c r="I198" s="2" t="s">
        <v>35</v>
      </c>
      <c r="J198" s="3" t="str">
        <f t="shared" si="23"/>
        <v>R$ 30</v>
      </c>
      <c r="K198" t="s">
        <v>49</v>
      </c>
    </row>
    <row r="199" spans="1:11" x14ac:dyDescent="0.25">
      <c r="A199">
        <f t="shared" si="24"/>
        <v>197</v>
      </c>
      <c r="B199">
        <v>197</v>
      </c>
      <c r="C199" t="str">
        <f t="shared" si="21"/>
        <v>INCOMPLETA</v>
      </c>
      <c r="D199" t="str">
        <f t="shared" si="22"/>
        <v>ERRO</v>
      </c>
      <c r="E199" s="1" t="s">
        <v>34</v>
      </c>
      <c r="F199" t="s">
        <v>26</v>
      </c>
      <c r="G199" t="s">
        <v>23</v>
      </c>
      <c r="H199">
        <v>10</v>
      </c>
      <c r="I199" s="2">
        <v>-10</v>
      </c>
      <c r="J199" s="3" t="str">
        <f t="shared" si="23"/>
        <v/>
      </c>
      <c r="K199" t="s">
        <v>10</v>
      </c>
    </row>
    <row r="200" spans="1:11" x14ac:dyDescent="0.25">
      <c r="A200">
        <f t="shared" si="24"/>
        <v>198</v>
      </c>
      <c r="B200">
        <v>198</v>
      </c>
      <c r="C200" t="str">
        <f t="shared" si="21"/>
        <v>INCOMPLETA</v>
      </c>
      <c r="D200" t="str">
        <f t="shared" si="22"/>
        <v>ERRO</v>
      </c>
      <c r="E200" s="1" t="s">
        <v>65</v>
      </c>
      <c r="G200" t="s">
        <v>23</v>
      </c>
      <c r="H200">
        <v>10</v>
      </c>
      <c r="I200" s="2">
        <v>-10</v>
      </c>
      <c r="J200" s="3" t="str">
        <f t="shared" si="23"/>
        <v/>
      </c>
      <c r="K200" t="s">
        <v>49</v>
      </c>
    </row>
    <row r="201" spans="1:11" x14ac:dyDescent="0.25">
      <c r="A201">
        <f t="shared" si="24"/>
        <v>199</v>
      </c>
      <c r="B201">
        <v>199</v>
      </c>
      <c r="C201" t="str">
        <f t="shared" si="21"/>
        <v>INCOMPLETA</v>
      </c>
      <c r="D201" t="str">
        <f t="shared" si="22"/>
        <v>ERRO</v>
      </c>
      <c r="E201" s="1" t="s">
        <v>92</v>
      </c>
      <c r="F201" t="s">
        <v>26</v>
      </c>
      <c r="I201" s="2"/>
      <c r="J201" s="3" t="str">
        <f t="shared" si="23"/>
        <v/>
      </c>
      <c r="K201" t="s">
        <v>49</v>
      </c>
    </row>
  </sheetData>
  <conditionalFormatting sqref="B1:B201">
    <cfRule type="duplicateValues" dxfId="4" priority="4"/>
  </conditionalFormatting>
  <conditionalFormatting sqref="C1:C1048576">
    <cfRule type="cellIs" dxfId="3" priority="1" operator="equal">
      <formula>"INCOMPLETA"</formula>
    </cfRule>
  </conditionalFormatting>
  <conditionalFormatting sqref="D1:D1048576">
    <cfRule type="cellIs" dxfId="2" priority="2" operator="equal">
      <formula>"OK"</formula>
    </cfRule>
    <cfRule type="containsText" dxfId="1" priority="3" operator="containsText" text="ERRO">
      <formula>NOT(ISERROR(SEARCH("ERRO",D1)))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D335-CAE9-44C5-80DD-9EC98A2829C2}">
  <dimension ref="A1:K51"/>
  <sheetViews>
    <sheetView tabSelected="1" topLeftCell="A3" zoomScaleNormal="100" workbookViewId="0">
      <selection activeCell="E40" sqref="E40"/>
    </sheetView>
  </sheetViews>
  <sheetFormatPr defaultRowHeight="24" customHeight="1" x14ac:dyDescent="0.25"/>
  <cols>
    <col min="1" max="1" width="27.42578125" bestFit="1" customWidth="1"/>
    <col min="2" max="2" width="14.85546875" bestFit="1" customWidth="1"/>
    <col min="3" max="3" width="19" bestFit="1" customWidth="1"/>
    <col min="4" max="4" width="17.42578125" bestFit="1" customWidth="1"/>
    <col min="5" max="5" width="17.85546875" customWidth="1"/>
    <col min="6" max="6" width="25.5703125" customWidth="1"/>
    <col min="7" max="7" width="18" bestFit="1" customWidth="1"/>
    <col min="8" max="8" width="19.7109375" bestFit="1" customWidth="1"/>
    <col min="9" max="9" width="24" bestFit="1" customWidth="1"/>
    <col min="10" max="10" width="25.7109375" bestFit="1" customWidth="1"/>
    <col min="11" max="23" width="25.85546875" bestFit="1" customWidth="1"/>
    <col min="24" max="24" width="32.42578125" bestFit="1" customWidth="1"/>
    <col min="25" max="25" width="32.5703125" bestFit="1" customWidth="1"/>
  </cols>
  <sheetData>
    <row r="1" spans="1:11" ht="40.5" customHeight="1" x14ac:dyDescent="0.25">
      <c r="A1" s="4" t="s">
        <v>162</v>
      </c>
      <c r="B1" s="4" t="s">
        <v>0</v>
      </c>
      <c r="C1" s="9" t="s">
        <v>160</v>
      </c>
      <c r="D1" s="9" t="s">
        <v>159</v>
      </c>
      <c r="E1" s="10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9" t="s">
        <v>163</v>
      </c>
      <c r="K1" s="9" t="s">
        <v>6</v>
      </c>
    </row>
    <row r="2" spans="1:11" ht="24" customHeight="1" x14ac:dyDescent="0.25">
      <c r="A2" s="7">
        <f>ROW()-1</f>
        <v>1</v>
      </c>
      <c r="B2" s="5">
        <v>6</v>
      </c>
      <c r="C2" s="5" t="s">
        <v>157</v>
      </c>
      <c r="D2" s="5" t="s">
        <v>161</v>
      </c>
      <c r="E2" s="6">
        <v>45333</v>
      </c>
      <c r="F2" s="5" t="s">
        <v>8</v>
      </c>
      <c r="G2" s="5" t="s">
        <v>19</v>
      </c>
      <c r="H2" s="5">
        <v>10</v>
      </c>
      <c r="I2" s="8">
        <v>353.89</v>
      </c>
      <c r="J2" s="8">
        <f>Tabela2[[#This Row],[Quantidade]] * Tabela2[[#This Row],[Preço_Unitário]]</f>
        <v>3538.8999999999996</v>
      </c>
      <c r="K2" s="5" t="s">
        <v>10</v>
      </c>
    </row>
    <row r="3" spans="1:11" ht="24" customHeight="1" x14ac:dyDescent="0.25">
      <c r="A3" s="7">
        <f>ROW()-1</f>
        <v>2</v>
      </c>
      <c r="B3" s="5">
        <v>8</v>
      </c>
      <c r="C3" s="5" t="s">
        <v>157</v>
      </c>
      <c r="D3" s="5" t="s">
        <v>161</v>
      </c>
      <c r="E3" s="6">
        <v>45488</v>
      </c>
      <c r="F3" s="5" t="s">
        <v>12</v>
      </c>
      <c r="G3" s="5" t="s">
        <v>9</v>
      </c>
      <c r="H3" s="5">
        <v>10</v>
      </c>
      <c r="I3" s="8">
        <v>206.57</v>
      </c>
      <c r="J3" s="8">
        <f>Tabela2[[#This Row],[Quantidade]] * Tabela2[[#This Row],[Preço_Unitário]]</f>
        <v>2065.6999999999998</v>
      </c>
      <c r="K3" s="5" t="s">
        <v>13</v>
      </c>
    </row>
    <row r="4" spans="1:11" ht="24" customHeight="1" x14ac:dyDescent="0.25">
      <c r="A4" s="7">
        <f>ROW()-1</f>
        <v>3</v>
      </c>
      <c r="B4" s="5">
        <v>13</v>
      </c>
      <c r="C4" s="5" t="s">
        <v>157</v>
      </c>
      <c r="D4" s="5" t="s">
        <v>161</v>
      </c>
      <c r="E4" s="6">
        <v>45433</v>
      </c>
      <c r="F4" s="5" t="s">
        <v>12</v>
      </c>
      <c r="G4" s="5" t="s">
        <v>23</v>
      </c>
      <c r="H4" s="5">
        <v>10</v>
      </c>
      <c r="I4" s="8">
        <v>30</v>
      </c>
      <c r="J4" s="8">
        <f>Tabela2[[#This Row],[Quantidade]] * Tabela2[[#This Row],[Preço_Unitário]]</f>
        <v>300</v>
      </c>
      <c r="K4" s="5" t="s">
        <v>21</v>
      </c>
    </row>
    <row r="5" spans="1:11" ht="24" customHeight="1" x14ac:dyDescent="0.25">
      <c r="A5" s="7">
        <f>ROW()-1</f>
        <v>4</v>
      </c>
      <c r="B5" s="5">
        <v>25</v>
      </c>
      <c r="C5" s="5" t="s">
        <v>157</v>
      </c>
      <c r="D5" s="5" t="s">
        <v>161</v>
      </c>
      <c r="E5" s="6">
        <v>45410</v>
      </c>
      <c r="F5" s="5" t="s">
        <v>26</v>
      </c>
      <c r="G5" s="5" t="s">
        <v>23</v>
      </c>
      <c r="H5" s="5">
        <v>15</v>
      </c>
      <c r="I5" s="8">
        <v>34.79</v>
      </c>
      <c r="J5" s="8">
        <f>Tabela2[[#This Row],[Quantidade]] * Tabela2[[#This Row],[Preço_Unitário]]</f>
        <v>521.85</v>
      </c>
      <c r="K5" s="5" t="s">
        <v>21</v>
      </c>
    </row>
    <row r="6" spans="1:11" ht="24" customHeight="1" x14ac:dyDescent="0.25">
      <c r="A6" s="7">
        <f>ROW()-1</f>
        <v>5</v>
      </c>
      <c r="B6" s="5">
        <v>29</v>
      </c>
      <c r="C6" s="5" t="s">
        <v>157</v>
      </c>
      <c r="D6" s="5" t="s">
        <v>161</v>
      </c>
      <c r="E6" s="6">
        <v>45427</v>
      </c>
      <c r="F6" s="5" t="s">
        <v>26</v>
      </c>
      <c r="G6" s="5" t="s">
        <v>37</v>
      </c>
      <c r="H6" s="5">
        <v>17</v>
      </c>
      <c r="I6" s="8">
        <v>427.16</v>
      </c>
      <c r="J6" s="8">
        <f>Tabela2[[#This Row],[Quantidade]] * Tabela2[[#This Row],[Preço_Unitário]]</f>
        <v>7261.72</v>
      </c>
      <c r="K6" s="5" t="s">
        <v>10</v>
      </c>
    </row>
    <row r="7" spans="1:11" ht="24" customHeight="1" x14ac:dyDescent="0.25">
      <c r="A7" s="7">
        <f>ROW()-1</f>
        <v>6</v>
      </c>
      <c r="B7" s="5">
        <v>32</v>
      </c>
      <c r="C7" s="5" t="s">
        <v>157</v>
      </c>
      <c r="D7" s="5" t="s">
        <v>161</v>
      </c>
      <c r="E7" s="6">
        <v>45368</v>
      </c>
      <c r="F7" s="5" t="s">
        <v>33</v>
      </c>
      <c r="G7" s="5" t="s">
        <v>19</v>
      </c>
      <c r="H7" s="5">
        <v>3</v>
      </c>
      <c r="I7" s="8">
        <v>234.56</v>
      </c>
      <c r="J7" s="8">
        <f>Tabela2[[#This Row],[Quantidade]] * Tabela2[[#This Row],[Preço_Unitário]]</f>
        <v>703.68000000000006</v>
      </c>
      <c r="K7" s="5" t="s">
        <v>21</v>
      </c>
    </row>
    <row r="8" spans="1:11" ht="24" customHeight="1" x14ac:dyDescent="0.25">
      <c r="A8" s="7">
        <f>ROW()-1</f>
        <v>7</v>
      </c>
      <c r="B8" s="5">
        <v>44</v>
      </c>
      <c r="C8" s="5" t="s">
        <v>157</v>
      </c>
      <c r="D8" s="5" t="s">
        <v>161</v>
      </c>
      <c r="E8" s="6">
        <v>45429</v>
      </c>
      <c r="F8" s="5" t="s">
        <v>8</v>
      </c>
      <c r="G8" s="5" t="s">
        <v>37</v>
      </c>
      <c r="H8" s="5">
        <v>10</v>
      </c>
      <c r="I8" s="8">
        <v>30</v>
      </c>
      <c r="J8" s="8">
        <f>Tabela2[[#This Row],[Quantidade]] * Tabela2[[#This Row],[Preço_Unitário]]</f>
        <v>300</v>
      </c>
      <c r="K8" s="5" t="s">
        <v>21</v>
      </c>
    </row>
    <row r="9" spans="1:11" ht="24" customHeight="1" x14ac:dyDescent="0.25">
      <c r="A9" s="7">
        <f>ROW()-1</f>
        <v>8</v>
      </c>
      <c r="B9" s="5">
        <v>48</v>
      </c>
      <c r="C9" s="5" t="s">
        <v>157</v>
      </c>
      <c r="D9" s="5" t="s">
        <v>161</v>
      </c>
      <c r="E9" s="6">
        <v>45399</v>
      </c>
      <c r="F9" s="5" t="s">
        <v>33</v>
      </c>
      <c r="G9" s="5" t="s">
        <v>15</v>
      </c>
      <c r="H9" s="5">
        <v>10</v>
      </c>
      <c r="I9" s="8">
        <v>208.98</v>
      </c>
      <c r="J9" s="8">
        <f>Tabela2[[#This Row],[Quantidade]] * Tabela2[[#This Row],[Preço_Unitário]]</f>
        <v>2089.7999999999997</v>
      </c>
      <c r="K9" s="5" t="s">
        <v>17</v>
      </c>
    </row>
    <row r="10" spans="1:11" ht="24" customHeight="1" x14ac:dyDescent="0.25">
      <c r="A10" s="7">
        <f>ROW()-1</f>
        <v>9</v>
      </c>
      <c r="B10" s="5">
        <v>64</v>
      </c>
      <c r="C10" s="5" t="s">
        <v>157</v>
      </c>
      <c r="D10" s="5" t="s">
        <v>161</v>
      </c>
      <c r="E10" s="6">
        <v>45399</v>
      </c>
      <c r="F10" s="5" t="s">
        <v>8</v>
      </c>
      <c r="G10" s="5" t="s">
        <v>23</v>
      </c>
      <c r="H10" s="5">
        <v>16</v>
      </c>
      <c r="I10" s="8">
        <v>377.02</v>
      </c>
      <c r="J10" s="8">
        <f>Tabela2[[#This Row],[Quantidade]] * Tabela2[[#This Row],[Preço_Unitário]]</f>
        <v>6032.32</v>
      </c>
      <c r="K10" s="5" t="s">
        <v>17</v>
      </c>
    </row>
    <row r="11" spans="1:11" ht="24" customHeight="1" x14ac:dyDescent="0.25">
      <c r="A11" s="7">
        <f>ROW()-1</f>
        <v>10</v>
      </c>
      <c r="B11" s="5">
        <v>81</v>
      </c>
      <c r="C11" s="5" t="s">
        <v>157</v>
      </c>
      <c r="D11" s="5" t="s">
        <v>161</v>
      </c>
      <c r="E11" s="6">
        <v>45305</v>
      </c>
      <c r="F11" s="5" t="s">
        <v>8</v>
      </c>
      <c r="G11" s="5" t="s">
        <v>31</v>
      </c>
      <c r="H11" s="5">
        <v>4</v>
      </c>
      <c r="I11" s="8">
        <v>206.35</v>
      </c>
      <c r="J11" s="8">
        <f>Tabela2[[#This Row],[Quantidade]] * Tabela2[[#This Row],[Preço_Unitário]]</f>
        <v>825.4</v>
      </c>
      <c r="K11" s="5" t="s">
        <v>10</v>
      </c>
    </row>
    <row r="12" spans="1:11" ht="24" customHeight="1" x14ac:dyDescent="0.25">
      <c r="A12" s="7">
        <f>ROW()-1</f>
        <v>11</v>
      </c>
      <c r="B12" s="5">
        <v>107</v>
      </c>
      <c r="C12" s="5" t="s">
        <v>157</v>
      </c>
      <c r="D12" s="5" t="s">
        <v>161</v>
      </c>
      <c r="E12" s="6">
        <v>45365</v>
      </c>
      <c r="F12" s="5" t="s">
        <v>26</v>
      </c>
      <c r="G12" s="5" t="s">
        <v>23</v>
      </c>
      <c r="H12" s="5">
        <v>14</v>
      </c>
      <c r="I12" s="8">
        <v>382.58</v>
      </c>
      <c r="J12" s="8">
        <f>Tabela2[[#This Row],[Quantidade]] * Tabela2[[#This Row],[Preço_Unitário]]</f>
        <v>5356.12</v>
      </c>
      <c r="K12" s="5" t="s">
        <v>49</v>
      </c>
    </row>
    <row r="13" spans="1:11" ht="24" customHeight="1" x14ac:dyDescent="0.25">
      <c r="A13" s="7">
        <f>ROW()-1</f>
        <v>12</v>
      </c>
      <c r="B13" s="5">
        <v>110</v>
      </c>
      <c r="C13" s="5" t="s">
        <v>157</v>
      </c>
      <c r="D13" s="5" t="s">
        <v>161</v>
      </c>
      <c r="E13" s="6">
        <v>45382</v>
      </c>
      <c r="F13" s="5" t="s">
        <v>33</v>
      </c>
      <c r="G13" s="5" t="s">
        <v>47</v>
      </c>
      <c r="H13" s="5">
        <v>15</v>
      </c>
      <c r="I13" s="8">
        <v>339.95</v>
      </c>
      <c r="J13" s="8">
        <f>Tabela2[[#This Row],[Quantidade]] * Tabela2[[#This Row],[Preço_Unitário]]</f>
        <v>5099.25</v>
      </c>
      <c r="K13" s="5" t="s">
        <v>21</v>
      </c>
    </row>
    <row r="14" spans="1:11" ht="24" customHeight="1" x14ac:dyDescent="0.25">
      <c r="A14" s="7">
        <f>ROW()-1</f>
        <v>13</v>
      </c>
      <c r="B14" s="5">
        <v>150</v>
      </c>
      <c r="C14" s="5" t="s">
        <v>157</v>
      </c>
      <c r="D14" s="5" t="s">
        <v>161</v>
      </c>
      <c r="E14" s="6">
        <v>45439</v>
      </c>
      <c r="F14" s="5" t="s">
        <v>33</v>
      </c>
      <c r="G14" s="5" t="s">
        <v>47</v>
      </c>
      <c r="H14" s="5">
        <v>10</v>
      </c>
      <c r="I14" s="8">
        <v>66.430000000000007</v>
      </c>
      <c r="J14" s="8">
        <f>Tabela2[[#This Row],[Quantidade]] * Tabela2[[#This Row],[Preço_Unitário]]</f>
        <v>664.30000000000007</v>
      </c>
      <c r="K14" s="5" t="s">
        <v>17</v>
      </c>
    </row>
    <row r="15" spans="1:11" ht="24" customHeight="1" x14ac:dyDescent="0.25">
      <c r="A15" s="7">
        <f>ROW()-1</f>
        <v>14</v>
      </c>
      <c r="B15" s="5">
        <v>156</v>
      </c>
      <c r="C15" s="5" t="s">
        <v>157</v>
      </c>
      <c r="D15" s="5" t="s">
        <v>161</v>
      </c>
      <c r="E15" s="6">
        <v>45404</v>
      </c>
      <c r="F15" s="5" t="s">
        <v>12</v>
      </c>
      <c r="G15" s="5" t="s">
        <v>31</v>
      </c>
      <c r="H15" s="5">
        <v>10</v>
      </c>
      <c r="I15" s="8">
        <v>400.2</v>
      </c>
      <c r="J15" s="8">
        <f>Tabela2[[#This Row],[Quantidade]] * Tabela2[[#This Row],[Preço_Unitário]]</f>
        <v>4002</v>
      </c>
      <c r="K15" s="5" t="s">
        <v>17</v>
      </c>
    </row>
    <row r="16" spans="1:11" ht="24" customHeight="1" x14ac:dyDescent="0.25">
      <c r="A16" s="7">
        <f>ROW()-1</f>
        <v>15</v>
      </c>
      <c r="B16" s="5">
        <v>180</v>
      </c>
      <c r="C16" s="5" t="s">
        <v>157</v>
      </c>
      <c r="D16" s="5" t="s">
        <v>161</v>
      </c>
      <c r="E16" s="6">
        <v>45303</v>
      </c>
      <c r="F16" s="5" t="s">
        <v>33</v>
      </c>
      <c r="G16" s="5" t="s">
        <v>19</v>
      </c>
      <c r="H16" s="5">
        <v>9</v>
      </c>
      <c r="I16" s="8">
        <v>184.98</v>
      </c>
      <c r="J16" s="8">
        <f>Tabela2[[#This Row],[Quantidade]] * Tabela2[[#This Row],[Preço_Unitário]]</f>
        <v>1664.82</v>
      </c>
      <c r="K16" s="5" t="s">
        <v>17</v>
      </c>
    </row>
    <row r="18" spans="1:10" ht="24" customHeight="1" x14ac:dyDescent="0.25">
      <c r="B18" s="12"/>
      <c r="D18" s="12"/>
      <c r="F18" s="12"/>
    </row>
    <row r="19" spans="1:10" ht="24" customHeight="1" x14ac:dyDescent="0.45">
      <c r="A19" s="18" t="s">
        <v>172</v>
      </c>
      <c r="B19" s="12"/>
      <c r="D19" s="18" t="s">
        <v>173</v>
      </c>
      <c r="F19" s="12"/>
      <c r="I19" s="18" t="s">
        <v>174</v>
      </c>
    </row>
    <row r="22" spans="1:10" ht="24" customHeight="1" x14ac:dyDescent="0.25">
      <c r="A22" s="12" t="s">
        <v>164</v>
      </c>
      <c r="I22" s="15" t="s">
        <v>168</v>
      </c>
      <c r="J22" t="s">
        <v>170</v>
      </c>
    </row>
    <row r="23" spans="1:10" ht="24" customHeight="1" x14ac:dyDescent="0.25">
      <c r="A23" s="13">
        <f>SUM(Tabela2[Valor_Total])</f>
        <v>40425.860000000008</v>
      </c>
      <c r="I23" s="16" t="s">
        <v>23</v>
      </c>
      <c r="J23" s="11">
        <v>12210.29</v>
      </c>
    </row>
    <row r="24" spans="1:10" ht="24" customHeight="1" x14ac:dyDescent="0.25">
      <c r="I24" s="16" t="s">
        <v>37</v>
      </c>
      <c r="J24" s="11">
        <v>7561.72</v>
      </c>
    </row>
    <row r="25" spans="1:10" ht="24" customHeight="1" x14ac:dyDescent="0.25">
      <c r="A25" s="12" t="s">
        <v>167</v>
      </c>
      <c r="I25" s="16" t="s">
        <v>19</v>
      </c>
      <c r="J25" s="11">
        <v>5907.4</v>
      </c>
    </row>
    <row r="26" spans="1:10" ht="24" customHeight="1" x14ac:dyDescent="0.25">
      <c r="A26" s="12">
        <f>SUM(Tabela2[Quantidade])</f>
        <v>163</v>
      </c>
      <c r="I26" s="16" t="s">
        <v>47</v>
      </c>
      <c r="J26" s="11">
        <v>5763.55</v>
      </c>
    </row>
    <row r="27" spans="1:10" ht="24" customHeight="1" x14ac:dyDescent="0.25">
      <c r="I27" s="16" t="s">
        <v>31</v>
      </c>
      <c r="J27" s="11">
        <v>4827.3999999999996</v>
      </c>
    </row>
    <row r="28" spans="1:10" ht="24" customHeight="1" x14ac:dyDescent="0.25">
      <c r="A28" s="12" t="s">
        <v>166</v>
      </c>
    </row>
    <row r="29" spans="1:10" ht="24" customHeight="1" x14ac:dyDescent="0.25">
      <c r="A29" s="13">
        <f>SUM(Tabela2[Valor_Total]) / COUNT(Tabela2[Valor_Total])</f>
        <v>2695.0573333333336</v>
      </c>
      <c r="I29" s="15" t="s">
        <v>168</v>
      </c>
      <c r="J29" t="s">
        <v>171</v>
      </c>
    </row>
    <row r="30" spans="1:10" ht="24" customHeight="1" x14ac:dyDescent="0.25">
      <c r="I30" s="16" t="s">
        <v>23</v>
      </c>
      <c r="J30" s="17">
        <v>55</v>
      </c>
    </row>
    <row r="31" spans="1:10" ht="24" customHeight="1" x14ac:dyDescent="0.25">
      <c r="A31" s="12" t="s">
        <v>165</v>
      </c>
      <c r="I31" s="16" t="s">
        <v>37</v>
      </c>
      <c r="J31" s="17">
        <v>27</v>
      </c>
    </row>
    <row r="32" spans="1:10" ht="24" customHeight="1" x14ac:dyDescent="0.25">
      <c r="A32" s="14">
        <f>SUM(Tabela2[Quantidade]) / COUNT(Tabela2[Quantidade])</f>
        <v>10.866666666666667</v>
      </c>
      <c r="I32" s="16" t="s">
        <v>47</v>
      </c>
      <c r="J32" s="17">
        <v>25</v>
      </c>
    </row>
    <row r="33" spans="9:10" ht="24" customHeight="1" x14ac:dyDescent="0.25">
      <c r="I33" s="16" t="s">
        <v>19</v>
      </c>
      <c r="J33" s="17">
        <v>22</v>
      </c>
    </row>
    <row r="34" spans="9:10" ht="24" customHeight="1" x14ac:dyDescent="0.25">
      <c r="I34" s="16" t="s">
        <v>31</v>
      </c>
      <c r="J34" s="17">
        <v>14</v>
      </c>
    </row>
    <row r="35" spans="9:10" ht="24" customHeight="1" x14ac:dyDescent="0.25">
      <c r="I35" s="16" t="s">
        <v>9</v>
      </c>
      <c r="J35" s="17">
        <v>10</v>
      </c>
    </row>
    <row r="36" spans="9:10" ht="24" customHeight="1" x14ac:dyDescent="0.25">
      <c r="I36" s="16" t="s">
        <v>15</v>
      </c>
      <c r="J36" s="17">
        <v>10</v>
      </c>
    </row>
    <row r="38" spans="9:10" ht="24" customHeight="1" x14ac:dyDescent="0.25">
      <c r="I38" s="15" t="s">
        <v>168</v>
      </c>
      <c r="J38" t="s">
        <v>170</v>
      </c>
    </row>
    <row r="39" spans="9:10" ht="24" customHeight="1" x14ac:dyDescent="0.25">
      <c r="I39" s="16" t="s">
        <v>17</v>
      </c>
      <c r="J39" s="11">
        <v>14453.239999999998</v>
      </c>
    </row>
    <row r="40" spans="9:10" ht="24" customHeight="1" x14ac:dyDescent="0.25">
      <c r="I40" s="16" t="s">
        <v>10</v>
      </c>
      <c r="J40" s="11">
        <v>11626.019999999999</v>
      </c>
    </row>
    <row r="41" spans="9:10" ht="24" customHeight="1" x14ac:dyDescent="0.25">
      <c r="I41" s="16" t="s">
        <v>21</v>
      </c>
      <c r="J41" s="11">
        <v>6924.7800000000007</v>
      </c>
    </row>
    <row r="42" spans="9:10" ht="24" customHeight="1" x14ac:dyDescent="0.25">
      <c r="I42" s="16" t="s">
        <v>49</v>
      </c>
      <c r="J42" s="11">
        <v>5356.12</v>
      </c>
    </row>
    <row r="43" spans="9:10" ht="24" customHeight="1" x14ac:dyDescent="0.25">
      <c r="I43" s="16" t="s">
        <v>13</v>
      </c>
      <c r="J43" s="11">
        <v>2065.6999999999998</v>
      </c>
    </row>
    <row r="44" spans="9:10" ht="24" customHeight="1" x14ac:dyDescent="0.25">
      <c r="I44" s="16" t="s">
        <v>169</v>
      </c>
      <c r="J44" s="11">
        <v>40425.86</v>
      </c>
    </row>
    <row r="46" spans="9:10" ht="24" customHeight="1" x14ac:dyDescent="0.25">
      <c r="I46" s="15" t="s">
        <v>168</v>
      </c>
      <c r="J46" t="s">
        <v>170</v>
      </c>
    </row>
    <row r="47" spans="9:10" ht="24" customHeight="1" x14ac:dyDescent="0.25">
      <c r="I47" s="16" t="s">
        <v>33</v>
      </c>
      <c r="J47" s="11">
        <v>10221.849999999999</v>
      </c>
    </row>
    <row r="48" spans="9:10" ht="24" customHeight="1" x14ac:dyDescent="0.25">
      <c r="I48" s="16" t="s">
        <v>12</v>
      </c>
      <c r="J48" s="11">
        <v>6367.7</v>
      </c>
    </row>
    <row r="49" spans="9:10" ht="24" customHeight="1" x14ac:dyDescent="0.25">
      <c r="I49" s="16" t="s">
        <v>26</v>
      </c>
      <c r="J49" s="11">
        <v>13139.69</v>
      </c>
    </row>
    <row r="50" spans="9:10" ht="24" customHeight="1" x14ac:dyDescent="0.25">
      <c r="I50" s="16" t="s">
        <v>8</v>
      </c>
      <c r="J50" s="11">
        <v>10696.619999999999</v>
      </c>
    </row>
    <row r="51" spans="9:10" ht="24" customHeight="1" x14ac:dyDescent="0.25">
      <c r="I51" s="16" t="s">
        <v>169</v>
      </c>
      <c r="J51" s="11">
        <v>40425.86</v>
      </c>
    </row>
  </sheetData>
  <conditionalFormatting sqref="B1">
    <cfRule type="duplicateValues" dxfId="0" priority="1"/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3</vt:i4>
      </vt:variant>
    </vt:vector>
  </HeadingPairs>
  <TitlesOfParts>
    <vt:vector size="7" baseType="lpstr">
      <vt:lpstr>Vendas-Banco_Original</vt:lpstr>
      <vt:lpstr>Identificacao_Erros</vt:lpstr>
      <vt:lpstr>Tratamento_Erros</vt:lpstr>
      <vt:lpstr>Dados_Limpos</vt:lpstr>
      <vt:lpstr>Dados_Limpos!Area_de_extracao</vt:lpstr>
      <vt:lpstr>tbl_tratamento</vt:lpstr>
      <vt:lpstr>Tratamento_Erros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henriky</cp:lastModifiedBy>
  <dcterms:created xsi:type="dcterms:W3CDTF">2025-11-15T18:53:46Z</dcterms:created>
  <dcterms:modified xsi:type="dcterms:W3CDTF">2025-11-17T23:44:20Z</dcterms:modified>
</cp:coreProperties>
</file>