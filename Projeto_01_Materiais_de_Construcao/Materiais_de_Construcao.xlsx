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enriky\Desktop\Excel\projetinhos\Projeto_01_Materiais_de_Construcao\"/>
    </mc:Choice>
  </mc:AlternateContent>
  <xr:revisionPtr revIDLastSave="0" documentId="13_ncr:1_{7CB50EC6-1FCE-408A-8346-008393046121}" xr6:coauthVersionLast="47" xr6:coauthVersionMax="47" xr10:uidLastSave="{00000000-0000-0000-0000-000000000000}"/>
  <bookViews>
    <workbookView xWindow="-120" yWindow="-120" windowWidth="19440" windowHeight="15000" tabRatio="622" firstSheet="1" activeTab="3" xr2:uid="{00000000-000D-0000-FFFF-FFFF00000000}"/>
  </bookViews>
  <sheets>
    <sheet name="Vendas-Banco_Original" sheetId="1" r:id="rId1"/>
    <sheet name="Identificacao_Erros" sheetId="4" r:id="rId2"/>
    <sheet name="Tratamento_Erros" sheetId="6" r:id="rId3"/>
    <sheet name="Dados_Limpos" sheetId="10" r:id="rId4"/>
    <sheet name="Qualidade_Dados" sheetId="12" r:id="rId5"/>
  </sheets>
  <definedNames>
    <definedName name="_xlnm._FilterDatabase" localSheetId="4" hidden="1">Qualidade_Dados!$A$1:$R$201</definedName>
    <definedName name="_xlnm._FilterDatabase" localSheetId="2" hidden="1">Tratamento_Erros!$A$1:$L$201</definedName>
    <definedName name="_xlnm.Extract" localSheetId="3">Dados_Limpos!$A$1:$K$1</definedName>
    <definedName name="Tabela1">tbl_vendas564[]</definedName>
    <definedName name="tbl_tratamento" localSheetId="4">tbl_vendas564[]</definedName>
    <definedName name="tbl_tratamento">tbl_vendas56[]</definedName>
    <definedName name="Tratamento_Erros" localSheetId="4">tbl_vendas564[]</definedName>
    <definedName name="Tratamento_Erros">tbl_vendas56[]</definedName>
  </definedName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1" i="12" l="1"/>
  <c r="E201" i="12" s="1"/>
  <c r="H201" i="12" s="1" a="1"/>
  <c r="H201" i="12" s="1"/>
  <c r="A201" i="12"/>
  <c r="Q200" i="12"/>
  <c r="C200" i="12" s="1"/>
  <c r="D200" i="12" s="1"/>
  <c r="A200" i="12"/>
  <c r="Q199" i="12"/>
  <c r="C199" i="12" s="1"/>
  <c r="D199" i="12" s="1"/>
  <c r="A199" i="12"/>
  <c r="Q198" i="12"/>
  <c r="E198" i="12" s="1"/>
  <c r="H198" i="12" s="1" a="1"/>
  <c r="H198" i="12" s="1"/>
  <c r="A198" i="12"/>
  <c r="Q197" i="12"/>
  <c r="A197" i="12"/>
  <c r="Q196" i="12"/>
  <c r="C196" i="12" s="1"/>
  <c r="D196" i="12" s="1"/>
  <c r="A196" i="12"/>
  <c r="Q195" i="12"/>
  <c r="A195" i="12"/>
  <c r="Q194" i="12"/>
  <c r="A194" i="12"/>
  <c r="Q193" i="12"/>
  <c r="E193" i="12" s="1"/>
  <c r="K193" i="12" s="1" a="1"/>
  <c r="K193" i="12" s="1"/>
  <c r="A193" i="12"/>
  <c r="Q192" i="12"/>
  <c r="E192" i="12" s="1"/>
  <c r="K192" i="12" s="1" a="1"/>
  <c r="K192" i="12" s="1"/>
  <c r="A192" i="12"/>
  <c r="Q191" i="12"/>
  <c r="A191" i="12"/>
  <c r="Q190" i="12"/>
  <c r="A190" i="12"/>
  <c r="Q189" i="12"/>
  <c r="E189" i="12" s="1"/>
  <c r="K189" i="12" s="1" a="1"/>
  <c r="K189" i="12" s="1"/>
  <c r="A189" i="12"/>
  <c r="Q188" i="12"/>
  <c r="C188" i="12" s="1"/>
  <c r="D188" i="12" s="1"/>
  <c r="A188" i="12"/>
  <c r="Q187" i="12"/>
  <c r="C187" i="12" s="1"/>
  <c r="D187" i="12" s="1"/>
  <c r="A187" i="12"/>
  <c r="Q186" i="12"/>
  <c r="E186" i="12" s="1"/>
  <c r="H186" i="12" s="1" a="1"/>
  <c r="H186" i="12" s="1"/>
  <c r="A186" i="12"/>
  <c r="Q185" i="12"/>
  <c r="E185" i="12" s="1"/>
  <c r="H185" i="12" s="1" a="1"/>
  <c r="H185" i="12" s="1"/>
  <c r="A185" i="12"/>
  <c r="Q184" i="12"/>
  <c r="A184" i="12"/>
  <c r="Q183" i="12"/>
  <c r="C183" i="12" s="1"/>
  <c r="D183" i="12" s="1"/>
  <c r="A183" i="12"/>
  <c r="Q182" i="12"/>
  <c r="A182" i="12"/>
  <c r="Q181" i="12"/>
  <c r="E181" i="12" s="1"/>
  <c r="K181" i="12" s="1" a="1"/>
  <c r="K181" i="12" s="1"/>
  <c r="A181" i="12"/>
  <c r="Q180" i="12"/>
  <c r="C180" i="12" s="1"/>
  <c r="D180" i="12" s="1"/>
  <c r="A180" i="12"/>
  <c r="Q179" i="12"/>
  <c r="C179" i="12" s="1"/>
  <c r="D179" i="12" s="1"/>
  <c r="A179" i="12"/>
  <c r="Q178" i="12"/>
  <c r="A178" i="12"/>
  <c r="Q177" i="12"/>
  <c r="A177" i="12"/>
  <c r="Q176" i="12"/>
  <c r="A176" i="12"/>
  <c r="Q175" i="12"/>
  <c r="A175" i="12"/>
  <c r="Q174" i="12"/>
  <c r="E174" i="12" s="1"/>
  <c r="H174" i="12" s="1" a="1"/>
  <c r="H174" i="12" s="1"/>
  <c r="A174" i="12"/>
  <c r="Q173" i="12"/>
  <c r="E173" i="12" s="1"/>
  <c r="K173" i="12" s="1" a="1"/>
  <c r="K173" i="12" s="1"/>
  <c r="A173" i="12"/>
  <c r="Q172" i="12"/>
  <c r="C172" i="12" s="1"/>
  <c r="D172" i="12" s="1"/>
  <c r="A172" i="12"/>
  <c r="Q171" i="12"/>
  <c r="C171" i="12" s="1"/>
  <c r="D171" i="12" s="1"/>
  <c r="A171" i="12"/>
  <c r="Q170" i="12"/>
  <c r="E170" i="12" s="1"/>
  <c r="H170" i="12" s="1" a="1"/>
  <c r="H170" i="12" s="1"/>
  <c r="A170" i="12"/>
  <c r="Q169" i="12"/>
  <c r="A169" i="12"/>
  <c r="Q168" i="12"/>
  <c r="C168" i="12" s="1"/>
  <c r="D168" i="12" s="1"/>
  <c r="A168" i="12"/>
  <c r="Q167" i="12"/>
  <c r="A167" i="12"/>
  <c r="Q166" i="12"/>
  <c r="E166" i="12" s="1"/>
  <c r="F166" i="12" s="1" a="1"/>
  <c r="F166" i="12" s="1"/>
  <c r="A166" i="12"/>
  <c r="Q165" i="12"/>
  <c r="E165" i="12" s="1"/>
  <c r="K165" i="12" s="1" a="1"/>
  <c r="K165" i="12" s="1"/>
  <c r="A165" i="12"/>
  <c r="Q164" i="12"/>
  <c r="E164" i="12" s="1"/>
  <c r="K164" i="12" s="1" a="1"/>
  <c r="K164" i="12" s="1"/>
  <c r="A164" i="12"/>
  <c r="Q163" i="12"/>
  <c r="C163" i="12" s="1"/>
  <c r="D163" i="12" s="1"/>
  <c r="A163" i="12"/>
  <c r="Q162" i="12"/>
  <c r="A162" i="12"/>
  <c r="Q161" i="12"/>
  <c r="E161" i="12" s="1"/>
  <c r="K161" i="12" s="1" a="1"/>
  <c r="K161" i="12" s="1"/>
  <c r="A161" i="12"/>
  <c r="Q160" i="12"/>
  <c r="C160" i="12" s="1"/>
  <c r="D160" i="12" s="1"/>
  <c r="A160" i="12"/>
  <c r="Q159" i="12"/>
  <c r="A159" i="12"/>
  <c r="Q158" i="12"/>
  <c r="E158" i="12" s="1"/>
  <c r="K158" i="12" s="1" a="1"/>
  <c r="K158" i="12" s="1"/>
  <c r="A158" i="12"/>
  <c r="Q157" i="12"/>
  <c r="E157" i="12" s="1"/>
  <c r="K157" i="12" s="1" a="1"/>
  <c r="K157" i="12" s="1"/>
  <c r="A157" i="12"/>
  <c r="Q156" i="12"/>
  <c r="A156" i="12"/>
  <c r="Q155" i="12"/>
  <c r="C155" i="12" s="1"/>
  <c r="D155" i="12" s="1"/>
  <c r="A155" i="12"/>
  <c r="Q154" i="12"/>
  <c r="A154" i="12"/>
  <c r="Q153" i="12"/>
  <c r="C153" i="12" s="1"/>
  <c r="D153" i="12" s="1"/>
  <c r="A153" i="12"/>
  <c r="Q152" i="12"/>
  <c r="C152" i="12" s="1"/>
  <c r="D152" i="12" s="1"/>
  <c r="A152" i="12"/>
  <c r="Q151" i="12"/>
  <c r="C151" i="12" s="1"/>
  <c r="D151" i="12" s="1"/>
  <c r="A151" i="12"/>
  <c r="Q150" i="12"/>
  <c r="E150" i="12" s="1"/>
  <c r="F150" i="12" s="1" a="1"/>
  <c r="F150" i="12" s="1"/>
  <c r="A150" i="12"/>
  <c r="Q149" i="12"/>
  <c r="C149" i="12" s="1"/>
  <c r="D149" i="12" s="1"/>
  <c r="A149" i="12"/>
  <c r="Q148" i="12"/>
  <c r="C148" i="12" s="1"/>
  <c r="D148" i="12" s="1"/>
  <c r="A148" i="12"/>
  <c r="Q147" i="12"/>
  <c r="C147" i="12" s="1"/>
  <c r="D147" i="12" s="1"/>
  <c r="A147" i="12"/>
  <c r="Q146" i="12"/>
  <c r="E146" i="12" s="1"/>
  <c r="K146" i="12" s="1" a="1"/>
  <c r="K146" i="12" s="1"/>
  <c r="A146" i="12"/>
  <c r="Q145" i="12"/>
  <c r="C145" i="12" s="1"/>
  <c r="D145" i="12" s="1"/>
  <c r="A145" i="12"/>
  <c r="Q144" i="12"/>
  <c r="A144" i="12"/>
  <c r="Q143" i="12"/>
  <c r="A143" i="12"/>
  <c r="Q142" i="12"/>
  <c r="A142" i="12"/>
  <c r="Q141" i="12"/>
  <c r="C141" i="12" s="1"/>
  <c r="D141" i="12" s="1"/>
  <c r="A141" i="12"/>
  <c r="Q140" i="12"/>
  <c r="C140" i="12" s="1"/>
  <c r="D140" i="12" s="1"/>
  <c r="A140" i="12"/>
  <c r="Q139" i="12"/>
  <c r="C139" i="12" s="1"/>
  <c r="D139" i="12" s="1"/>
  <c r="A139" i="12"/>
  <c r="Q138" i="12"/>
  <c r="E138" i="12" s="1"/>
  <c r="K138" i="12" s="1" a="1"/>
  <c r="K138" i="12" s="1"/>
  <c r="A138" i="12"/>
  <c r="Q137" i="12"/>
  <c r="A137" i="12"/>
  <c r="Q136" i="12"/>
  <c r="A136" i="12"/>
  <c r="Q135" i="12"/>
  <c r="A135" i="12"/>
  <c r="Q134" i="12"/>
  <c r="A134" i="12"/>
  <c r="Q133" i="12"/>
  <c r="C133" i="12" s="1"/>
  <c r="D133" i="12" s="1"/>
  <c r="A133" i="12"/>
  <c r="Q132" i="12"/>
  <c r="A132" i="12"/>
  <c r="Q131" i="12"/>
  <c r="C131" i="12" s="1"/>
  <c r="D131" i="12" s="1"/>
  <c r="A131" i="12"/>
  <c r="Q130" i="12"/>
  <c r="E130" i="12" s="1"/>
  <c r="A130" i="12"/>
  <c r="Q129" i="12"/>
  <c r="A129" i="12"/>
  <c r="Q128" i="12"/>
  <c r="A128" i="12"/>
  <c r="Q127" i="12"/>
  <c r="A127" i="12"/>
  <c r="Q126" i="12"/>
  <c r="A126" i="12"/>
  <c r="Q125" i="12"/>
  <c r="E125" i="12" s="1"/>
  <c r="K125" i="12" s="1" a="1"/>
  <c r="K125" i="12" s="1"/>
  <c r="A125" i="12"/>
  <c r="Q124" i="12"/>
  <c r="C124" i="12" s="1"/>
  <c r="D124" i="12" s="1"/>
  <c r="A124" i="12"/>
  <c r="Q123" i="12"/>
  <c r="E123" i="12" s="1"/>
  <c r="K123" i="12" s="1" a="1"/>
  <c r="K123" i="12" s="1"/>
  <c r="A123" i="12"/>
  <c r="Q122" i="12"/>
  <c r="E122" i="12" s="1"/>
  <c r="K122" i="12" s="1" a="1"/>
  <c r="K122" i="12" s="1"/>
  <c r="A122" i="12"/>
  <c r="Q121" i="12"/>
  <c r="C121" i="12" s="1"/>
  <c r="D121" i="12" s="1"/>
  <c r="A121" i="12"/>
  <c r="Q120" i="12"/>
  <c r="C120" i="12" s="1"/>
  <c r="D120" i="12" s="1"/>
  <c r="A120" i="12"/>
  <c r="Q119" i="12"/>
  <c r="C119" i="12" s="1"/>
  <c r="D119" i="12" s="1"/>
  <c r="A119" i="12"/>
  <c r="Q118" i="12"/>
  <c r="E118" i="12" s="1"/>
  <c r="K118" i="12" s="1" a="1"/>
  <c r="K118" i="12" s="1"/>
  <c r="A118" i="12"/>
  <c r="Q117" i="12"/>
  <c r="A117" i="12"/>
  <c r="Q116" i="12"/>
  <c r="A116" i="12"/>
  <c r="Q115" i="12"/>
  <c r="A115" i="12"/>
  <c r="Q114" i="12"/>
  <c r="A114" i="12"/>
  <c r="Q113" i="12"/>
  <c r="C113" i="12" s="1"/>
  <c r="D113" i="12" s="1"/>
  <c r="A113" i="12"/>
  <c r="Q112" i="12"/>
  <c r="A112" i="12"/>
  <c r="Q111" i="12"/>
  <c r="C111" i="12" s="1"/>
  <c r="D111" i="12" s="1"/>
  <c r="A111" i="12"/>
  <c r="Q110" i="12"/>
  <c r="A110" i="12"/>
  <c r="Q109" i="12"/>
  <c r="A109" i="12"/>
  <c r="Q108" i="12"/>
  <c r="A108" i="12"/>
  <c r="Q107" i="12"/>
  <c r="E107" i="12" s="1"/>
  <c r="K107" i="12" s="1" a="1"/>
  <c r="K107" i="12" s="1"/>
  <c r="A107" i="12"/>
  <c r="Q106" i="12"/>
  <c r="E106" i="12" s="1"/>
  <c r="H106" i="12" s="1" a="1"/>
  <c r="H106" i="12" s="1"/>
  <c r="A106" i="12"/>
  <c r="Q105" i="12"/>
  <c r="A105" i="12"/>
  <c r="Q104" i="12"/>
  <c r="A104" i="12"/>
  <c r="Q103" i="12"/>
  <c r="A103" i="12"/>
  <c r="Q102" i="12"/>
  <c r="A102" i="12"/>
  <c r="Q101" i="12"/>
  <c r="C101" i="12" s="1"/>
  <c r="D101" i="12" s="1"/>
  <c r="A101" i="12"/>
  <c r="Q100" i="12"/>
  <c r="A100" i="12"/>
  <c r="Q99" i="12"/>
  <c r="C99" i="12" s="1"/>
  <c r="D99" i="12" s="1"/>
  <c r="A99" i="12"/>
  <c r="Q98" i="12"/>
  <c r="E98" i="12" s="1"/>
  <c r="K98" i="12" s="1" a="1"/>
  <c r="K98" i="12" s="1"/>
  <c r="A98" i="12"/>
  <c r="Q97" i="12"/>
  <c r="A97" i="12"/>
  <c r="Q96" i="12"/>
  <c r="C96" i="12" s="1"/>
  <c r="D96" i="12" s="1"/>
  <c r="A96" i="12"/>
  <c r="Q95" i="12"/>
  <c r="C95" i="12" s="1"/>
  <c r="D95" i="12" s="1"/>
  <c r="A95" i="12"/>
  <c r="Q94" i="12"/>
  <c r="A94" i="12"/>
  <c r="Q93" i="12"/>
  <c r="A93" i="12"/>
  <c r="Q92" i="12"/>
  <c r="A92" i="12"/>
  <c r="Q91" i="12"/>
  <c r="E91" i="12" s="1"/>
  <c r="K91" i="12" s="1" a="1"/>
  <c r="K91" i="12" s="1"/>
  <c r="A91" i="12"/>
  <c r="Q90" i="12"/>
  <c r="A90" i="12"/>
  <c r="Q89" i="12"/>
  <c r="C89" i="12" s="1"/>
  <c r="D89" i="12" s="1"/>
  <c r="A89" i="12"/>
  <c r="Q88" i="12"/>
  <c r="A88" i="12"/>
  <c r="Q87" i="12"/>
  <c r="A87" i="12"/>
  <c r="Q86" i="12"/>
  <c r="A86" i="12"/>
  <c r="Q85" i="12"/>
  <c r="A85" i="12"/>
  <c r="Q84" i="12"/>
  <c r="C84" i="12" s="1"/>
  <c r="D84" i="12" s="1"/>
  <c r="A84" i="12"/>
  <c r="Q83" i="12"/>
  <c r="E83" i="12" s="1"/>
  <c r="K83" i="12" s="1" a="1"/>
  <c r="K83" i="12" s="1"/>
  <c r="A83" i="12"/>
  <c r="Q82" i="12"/>
  <c r="E82" i="12" s="1"/>
  <c r="K82" i="12" s="1" a="1"/>
  <c r="K82" i="12" s="1"/>
  <c r="A82" i="12"/>
  <c r="Q81" i="12"/>
  <c r="C81" i="12" s="1"/>
  <c r="D81" i="12" s="1"/>
  <c r="A81" i="12"/>
  <c r="Q80" i="12"/>
  <c r="C80" i="12" s="1"/>
  <c r="D80" i="12" s="1"/>
  <c r="A80" i="12"/>
  <c r="Q79" i="12"/>
  <c r="C79" i="12" s="1"/>
  <c r="D79" i="12" s="1"/>
  <c r="A79" i="12"/>
  <c r="Q78" i="12"/>
  <c r="A78" i="12"/>
  <c r="Q77" i="12"/>
  <c r="E77" i="12" s="1"/>
  <c r="A77" i="12"/>
  <c r="Q76" i="12"/>
  <c r="A76" i="12"/>
  <c r="Q75" i="12"/>
  <c r="A75" i="12"/>
  <c r="Q74" i="12"/>
  <c r="E74" i="12" s="1"/>
  <c r="K74" i="12" s="1" a="1"/>
  <c r="K74" i="12" s="1"/>
  <c r="A74" i="12"/>
  <c r="Q73" i="12"/>
  <c r="E73" i="12" s="1"/>
  <c r="H73" i="12" s="1" a="1"/>
  <c r="H73" i="12" s="1"/>
  <c r="A73" i="12"/>
  <c r="Q72" i="12"/>
  <c r="C72" i="12" s="1"/>
  <c r="D72" i="12" s="1"/>
  <c r="A72" i="12"/>
  <c r="Q71" i="12"/>
  <c r="C71" i="12" s="1"/>
  <c r="D71" i="12" s="1"/>
  <c r="A71" i="12"/>
  <c r="Q70" i="12"/>
  <c r="E70" i="12" s="1"/>
  <c r="A70" i="12"/>
  <c r="Q69" i="12"/>
  <c r="E69" i="12" s="1"/>
  <c r="H69" i="12" s="1" a="1"/>
  <c r="H69" i="12" s="1"/>
  <c r="A69" i="12"/>
  <c r="Q68" i="12"/>
  <c r="E68" i="12" s="1"/>
  <c r="A68" i="12"/>
  <c r="Q67" i="12"/>
  <c r="C67" i="12" s="1"/>
  <c r="D67" i="12" s="1"/>
  <c r="A67" i="12"/>
  <c r="Q66" i="12"/>
  <c r="A66" i="12"/>
  <c r="Q65" i="12"/>
  <c r="E65" i="12" s="1"/>
  <c r="A65" i="12"/>
  <c r="Q64" i="12"/>
  <c r="E64" i="12" s="1"/>
  <c r="A64" i="12"/>
  <c r="Q63" i="12"/>
  <c r="C63" i="12" s="1"/>
  <c r="D63" i="12" s="1"/>
  <c r="A63" i="12"/>
  <c r="Q62" i="12"/>
  <c r="E62" i="12" s="1"/>
  <c r="A62" i="12"/>
  <c r="Q61" i="12"/>
  <c r="E61" i="12" s="1"/>
  <c r="A61" i="12"/>
  <c r="Q60" i="12"/>
  <c r="E60" i="12" s="1"/>
  <c r="K60" i="12" s="1" a="1"/>
  <c r="K60" i="12" s="1"/>
  <c r="A60" i="12"/>
  <c r="Q59" i="12"/>
  <c r="C59" i="12" s="1"/>
  <c r="D59" i="12" s="1"/>
  <c r="A59" i="12"/>
  <c r="Q58" i="12"/>
  <c r="C58" i="12" s="1"/>
  <c r="D58" i="12" s="1"/>
  <c r="A58" i="12"/>
  <c r="Q57" i="12"/>
  <c r="E57" i="12" s="1"/>
  <c r="K57" i="12" s="1" a="1"/>
  <c r="K57" i="12" s="1"/>
  <c r="A57" i="12"/>
  <c r="Q56" i="12"/>
  <c r="C56" i="12" s="1"/>
  <c r="D56" i="12" s="1"/>
  <c r="A56" i="12"/>
  <c r="Q55" i="12"/>
  <c r="C55" i="12" s="1"/>
  <c r="D55" i="12" s="1"/>
  <c r="A55" i="12"/>
  <c r="Q54" i="12"/>
  <c r="E54" i="12" s="1"/>
  <c r="A54" i="12"/>
  <c r="Q53" i="12"/>
  <c r="E53" i="12" s="1"/>
  <c r="K53" i="12" s="1" a="1"/>
  <c r="K53" i="12" s="1"/>
  <c r="A53" i="12"/>
  <c r="Q52" i="12"/>
  <c r="E52" i="12" s="1"/>
  <c r="A52" i="12"/>
  <c r="Q51" i="12"/>
  <c r="C51" i="12" s="1"/>
  <c r="D51" i="12" s="1"/>
  <c r="A51" i="12"/>
  <c r="Q50" i="12"/>
  <c r="A50" i="12"/>
  <c r="Q49" i="12"/>
  <c r="E49" i="12" s="1"/>
  <c r="A49" i="12"/>
  <c r="Q48" i="12"/>
  <c r="C48" i="12" s="1"/>
  <c r="D48" i="12" s="1"/>
  <c r="A48" i="12"/>
  <c r="Q47" i="12"/>
  <c r="C47" i="12" s="1"/>
  <c r="D47" i="12" s="1"/>
  <c r="A47" i="12"/>
  <c r="Q46" i="12"/>
  <c r="C46" i="12" s="1"/>
  <c r="D46" i="12" s="1"/>
  <c r="A46" i="12"/>
  <c r="Q45" i="12"/>
  <c r="E45" i="12" s="1"/>
  <c r="A45" i="12"/>
  <c r="Q44" i="12"/>
  <c r="E44" i="12" s="1"/>
  <c r="A44" i="12"/>
  <c r="Q43" i="12"/>
  <c r="C43" i="12" s="1"/>
  <c r="D43" i="12" s="1"/>
  <c r="A43" i="12"/>
  <c r="Q42" i="12"/>
  <c r="C42" i="12" s="1"/>
  <c r="D42" i="12" s="1"/>
  <c r="A42" i="12"/>
  <c r="Q41" i="12"/>
  <c r="E41" i="12" s="1"/>
  <c r="H41" i="12" s="1" a="1"/>
  <c r="H41" i="12" s="1"/>
  <c r="A41" i="12"/>
  <c r="Q40" i="12"/>
  <c r="C40" i="12" s="1"/>
  <c r="D40" i="12" s="1"/>
  <c r="A40" i="12"/>
  <c r="Q39" i="12"/>
  <c r="C39" i="12" s="1"/>
  <c r="D39" i="12" s="1"/>
  <c r="A39" i="12"/>
  <c r="Q38" i="12"/>
  <c r="E38" i="12" s="1"/>
  <c r="A38" i="12"/>
  <c r="Q37" i="12"/>
  <c r="E37" i="12" s="1"/>
  <c r="A37" i="12"/>
  <c r="Q36" i="12"/>
  <c r="E36" i="12" s="1"/>
  <c r="A36" i="12"/>
  <c r="Q35" i="12"/>
  <c r="C35" i="12" s="1"/>
  <c r="D35" i="12" s="1"/>
  <c r="A35" i="12"/>
  <c r="Q34" i="12"/>
  <c r="A34" i="12"/>
  <c r="Q33" i="12"/>
  <c r="E33" i="12" s="1"/>
  <c r="A33" i="12"/>
  <c r="Q32" i="12"/>
  <c r="E32" i="12" s="1"/>
  <c r="A32" i="12"/>
  <c r="Q31" i="12"/>
  <c r="C31" i="12" s="1"/>
  <c r="D31" i="12" s="1"/>
  <c r="A31" i="12"/>
  <c r="Q30" i="12"/>
  <c r="E30" i="12" s="1"/>
  <c r="K30" i="12" s="1" a="1"/>
  <c r="K30" i="12" s="1"/>
  <c r="A30" i="12"/>
  <c r="Q29" i="12"/>
  <c r="E29" i="12" s="1"/>
  <c r="A29" i="12"/>
  <c r="Q28" i="12"/>
  <c r="C28" i="12" s="1"/>
  <c r="D28" i="12" s="1"/>
  <c r="A28" i="12"/>
  <c r="Q27" i="12"/>
  <c r="C27" i="12" s="1"/>
  <c r="D27" i="12" s="1"/>
  <c r="A27" i="12"/>
  <c r="Q26" i="12"/>
  <c r="C26" i="12" s="1"/>
  <c r="D26" i="12" s="1"/>
  <c r="A26" i="12"/>
  <c r="Q25" i="12"/>
  <c r="E25" i="12" s="1"/>
  <c r="A25" i="12"/>
  <c r="Q24" i="12"/>
  <c r="C24" i="12" s="1"/>
  <c r="D24" i="12" s="1"/>
  <c r="A24" i="12"/>
  <c r="Q23" i="12"/>
  <c r="C23" i="12" s="1"/>
  <c r="D23" i="12" s="1"/>
  <c r="A23" i="12"/>
  <c r="Q22" i="12"/>
  <c r="E22" i="12" s="1"/>
  <c r="A22" i="12"/>
  <c r="Q21" i="12"/>
  <c r="E21" i="12" s="1"/>
  <c r="A21" i="12"/>
  <c r="Q20" i="12"/>
  <c r="C20" i="12" s="1"/>
  <c r="D20" i="12" s="1"/>
  <c r="A20" i="12"/>
  <c r="Q19" i="12"/>
  <c r="C19" i="12" s="1"/>
  <c r="D19" i="12" s="1"/>
  <c r="A19" i="12"/>
  <c r="Q18" i="12"/>
  <c r="A18" i="12"/>
  <c r="Q17" i="12"/>
  <c r="E17" i="12" s="1"/>
  <c r="A17" i="12"/>
  <c r="Q16" i="12"/>
  <c r="C16" i="12" s="1"/>
  <c r="D16" i="12" s="1"/>
  <c r="A16" i="12"/>
  <c r="Q15" i="12"/>
  <c r="C15" i="12" s="1"/>
  <c r="D15" i="12" s="1"/>
  <c r="A15" i="12"/>
  <c r="Q14" i="12"/>
  <c r="C14" i="12" s="1"/>
  <c r="D14" i="12" s="1"/>
  <c r="A14" i="12"/>
  <c r="Q13" i="12"/>
  <c r="E13" i="12" s="1"/>
  <c r="A13" i="12"/>
  <c r="Q12" i="12"/>
  <c r="E12" i="12" s="1"/>
  <c r="K12" i="12" s="1" a="1"/>
  <c r="K12" i="12" s="1"/>
  <c r="A12" i="12"/>
  <c r="Q11" i="12"/>
  <c r="C11" i="12" s="1"/>
  <c r="D11" i="12" s="1"/>
  <c r="A11" i="12"/>
  <c r="Q10" i="12"/>
  <c r="C10" i="12" s="1"/>
  <c r="D10" i="12" s="1"/>
  <c r="A10" i="12"/>
  <c r="Q9" i="12"/>
  <c r="E9" i="12" s="1"/>
  <c r="A9" i="12"/>
  <c r="Q8" i="12"/>
  <c r="C8" i="12" s="1"/>
  <c r="D8" i="12" s="1"/>
  <c r="A8" i="12"/>
  <c r="Q7" i="12"/>
  <c r="C7" i="12" s="1"/>
  <c r="D7" i="12" s="1"/>
  <c r="A7" i="12"/>
  <c r="Q6" i="12"/>
  <c r="E6" i="12" s="1"/>
  <c r="A6" i="12"/>
  <c r="Q5" i="12"/>
  <c r="E5" i="12" s="1"/>
  <c r="A5" i="12"/>
  <c r="Q4" i="12"/>
  <c r="E4" i="12" s="1"/>
  <c r="K4" i="12" s="1" a="1"/>
  <c r="K4" i="12" s="1"/>
  <c r="A4" i="12"/>
  <c r="Q3" i="12"/>
  <c r="E3" i="12" s="1"/>
  <c r="A3" i="12"/>
  <c r="Q2" i="12"/>
  <c r="C2" i="12" s="1"/>
  <c r="D2" i="12" s="1"/>
  <c r="A2" i="12"/>
  <c r="E17" i="6"/>
  <c r="E33" i="6"/>
  <c r="E49" i="6"/>
  <c r="E65" i="6"/>
  <c r="E81" i="6"/>
  <c r="E97" i="6"/>
  <c r="E113" i="6"/>
  <c r="E129" i="6"/>
  <c r="E145" i="6"/>
  <c r="E161" i="6"/>
  <c r="E177" i="6"/>
  <c r="E193" i="6"/>
  <c r="D2" i="4"/>
  <c r="A32" i="10"/>
  <c r="A26" i="10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K2" i="6"/>
  <c r="C2" i="6" s="1"/>
  <c r="D2" i="6" s="1"/>
  <c r="K3" i="6"/>
  <c r="C3" i="6" s="1"/>
  <c r="K4" i="6"/>
  <c r="C4" i="6" s="1"/>
  <c r="D4" i="6" s="1"/>
  <c r="K5" i="6"/>
  <c r="C5" i="6" s="1"/>
  <c r="K6" i="6"/>
  <c r="C6" i="6" s="1"/>
  <c r="D6" i="6" s="1"/>
  <c r="K7" i="6"/>
  <c r="C7" i="6" s="1"/>
  <c r="K8" i="6"/>
  <c r="C8" i="6" s="1"/>
  <c r="D8" i="6" s="1"/>
  <c r="K9" i="6"/>
  <c r="C9" i="6" s="1"/>
  <c r="K10" i="6"/>
  <c r="C10" i="6" s="1"/>
  <c r="D10" i="6" s="1"/>
  <c r="K11" i="6"/>
  <c r="C11" i="6" s="1"/>
  <c r="K12" i="6"/>
  <c r="C12" i="6" s="1"/>
  <c r="D12" i="6" s="1"/>
  <c r="K13" i="6"/>
  <c r="C13" i="6" s="1"/>
  <c r="K14" i="6"/>
  <c r="C14" i="6" s="1"/>
  <c r="D14" i="6" s="1"/>
  <c r="K15" i="6"/>
  <c r="C15" i="6" s="1"/>
  <c r="K16" i="6"/>
  <c r="C16" i="6" s="1"/>
  <c r="D16" i="6" s="1"/>
  <c r="K17" i="6"/>
  <c r="C17" i="6" s="1"/>
  <c r="K18" i="6"/>
  <c r="C18" i="6" s="1"/>
  <c r="D18" i="6" s="1"/>
  <c r="K19" i="6"/>
  <c r="C19" i="6" s="1"/>
  <c r="K20" i="6"/>
  <c r="C20" i="6" s="1"/>
  <c r="D20" i="6" s="1"/>
  <c r="K21" i="6"/>
  <c r="C21" i="6" s="1"/>
  <c r="K22" i="6"/>
  <c r="C22" i="6" s="1"/>
  <c r="D22" i="6" s="1"/>
  <c r="K23" i="6"/>
  <c r="C23" i="6" s="1"/>
  <c r="K24" i="6"/>
  <c r="C24" i="6" s="1"/>
  <c r="D24" i="6" s="1"/>
  <c r="K25" i="6"/>
  <c r="C25" i="6" s="1"/>
  <c r="K26" i="6"/>
  <c r="C26" i="6" s="1"/>
  <c r="D26" i="6" s="1"/>
  <c r="K27" i="6"/>
  <c r="C27" i="6" s="1"/>
  <c r="K28" i="6"/>
  <c r="C28" i="6" s="1"/>
  <c r="D28" i="6" s="1"/>
  <c r="K29" i="6"/>
  <c r="C29" i="6" s="1"/>
  <c r="K30" i="6"/>
  <c r="C30" i="6" s="1"/>
  <c r="D30" i="6" s="1"/>
  <c r="K31" i="6"/>
  <c r="C31" i="6" s="1"/>
  <c r="K32" i="6"/>
  <c r="C32" i="6" s="1"/>
  <c r="D32" i="6" s="1"/>
  <c r="K33" i="6"/>
  <c r="C33" i="6" s="1"/>
  <c r="K34" i="6"/>
  <c r="C34" i="6" s="1"/>
  <c r="D34" i="6" s="1"/>
  <c r="K35" i="6"/>
  <c r="C35" i="6" s="1"/>
  <c r="K36" i="6"/>
  <c r="C36" i="6" s="1"/>
  <c r="D36" i="6" s="1"/>
  <c r="K37" i="6"/>
  <c r="C37" i="6" s="1"/>
  <c r="K38" i="6"/>
  <c r="C38" i="6" s="1"/>
  <c r="D38" i="6" s="1"/>
  <c r="K39" i="6"/>
  <c r="C39" i="6" s="1"/>
  <c r="K40" i="6"/>
  <c r="C40" i="6" s="1"/>
  <c r="D40" i="6" s="1"/>
  <c r="K41" i="6"/>
  <c r="C41" i="6" s="1"/>
  <c r="K42" i="6"/>
  <c r="C42" i="6" s="1"/>
  <c r="D42" i="6" s="1"/>
  <c r="K43" i="6"/>
  <c r="C43" i="6" s="1"/>
  <c r="D43" i="6" s="1"/>
  <c r="K44" i="6"/>
  <c r="C44" i="6" s="1"/>
  <c r="D44" i="6" s="1"/>
  <c r="K45" i="6"/>
  <c r="C45" i="6" s="1"/>
  <c r="K46" i="6"/>
  <c r="C46" i="6" s="1"/>
  <c r="D46" i="6" s="1"/>
  <c r="K47" i="6"/>
  <c r="C47" i="6" s="1"/>
  <c r="D47" i="6" s="1"/>
  <c r="K48" i="6"/>
  <c r="C48" i="6" s="1"/>
  <c r="D48" i="6" s="1"/>
  <c r="K49" i="6"/>
  <c r="C49" i="6" s="1"/>
  <c r="K50" i="6"/>
  <c r="C50" i="6" s="1"/>
  <c r="D50" i="6" s="1"/>
  <c r="K51" i="6"/>
  <c r="C51" i="6" s="1"/>
  <c r="D51" i="6" s="1"/>
  <c r="K52" i="6"/>
  <c r="C52" i="6" s="1"/>
  <c r="D52" i="6" s="1"/>
  <c r="K53" i="6"/>
  <c r="C53" i="6" s="1"/>
  <c r="K54" i="6"/>
  <c r="C54" i="6" s="1"/>
  <c r="D54" i="6" s="1"/>
  <c r="K55" i="6"/>
  <c r="C55" i="6" s="1"/>
  <c r="D55" i="6" s="1"/>
  <c r="K56" i="6"/>
  <c r="C56" i="6" s="1"/>
  <c r="D56" i="6" s="1"/>
  <c r="K57" i="6"/>
  <c r="C57" i="6" s="1"/>
  <c r="K58" i="6"/>
  <c r="C58" i="6" s="1"/>
  <c r="D58" i="6" s="1"/>
  <c r="K59" i="6"/>
  <c r="C59" i="6" s="1"/>
  <c r="D59" i="6" s="1"/>
  <c r="K60" i="6"/>
  <c r="C60" i="6" s="1"/>
  <c r="D60" i="6" s="1"/>
  <c r="K61" i="6"/>
  <c r="C61" i="6" s="1"/>
  <c r="K62" i="6"/>
  <c r="C62" i="6" s="1"/>
  <c r="D62" i="6" s="1"/>
  <c r="K63" i="6"/>
  <c r="C63" i="6" s="1"/>
  <c r="D63" i="6" s="1"/>
  <c r="K64" i="6"/>
  <c r="C64" i="6" s="1"/>
  <c r="D64" i="6" s="1"/>
  <c r="K65" i="6"/>
  <c r="C65" i="6" s="1"/>
  <c r="K66" i="6"/>
  <c r="C66" i="6" s="1"/>
  <c r="D66" i="6" s="1"/>
  <c r="K67" i="6"/>
  <c r="C67" i="6" s="1"/>
  <c r="D67" i="6" s="1"/>
  <c r="K68" i="6"/>
  <c r="C68" i="6" s="1"/>
  <c r="D68" i="6" s="1"/>
  <c r="K69" i="6"/>
  <c r="C69" i="6" s="1"/>
  <c r="K70" i="6"/>
  <c r="C70" i="6" s="1"/>
  <c r="D70" i="6" s="1"/>
  <c r="K71" i="6"/>
  <c r="C71" i="6" s="1"/>
  <c r="D71" i="6" s="1"/>
  <c r="K72" i="6"/>
  <c r="C72" i="6" s="1"/>
  <c r="D72" i="6" s="1"/>
  <c r="K73" i="6"/>
  <c r="C73" i="6" s="1"/>
  <c r="K74" i="6"/>
  <c r="C74" i="6" s="1"/>
  <c r="D74" i="6" s="1"/>
  <c r="K75" i="6"/>
  <c r="C75" i="6" s="1"/>
  <c r="D75" i="6" s="1"/>
  <c r="K76" i="6"/>
  <c r="C76" i="6" s="1"/>
  <c r="D76" i="6" s="1"/>
  <c r="K77" i="6"/>
  <c r="C77" i="6" s="1"/>
  <c r="K78" i="6"/>
  <c r="C78" i="6" s="1"/>
  <c r="D78" i="6" s="1"/>
  <c r="K79" i="6"/>
  <c r="C79" i="6" s="1"/>
  <c r="D79" i="6" s="1"/>
  <c r="K80" i="6"/>
  <c r="C80" i="6" s="1"/>
  <c r="D80" i="6" s="1"/>
  <c r="K81" i="6"/>
  <c r="C81" i="6" s="1"/>
  <c r="K82" i="6"/>
  <c r="C82" i="6" s="1"/>
  <c r="D82" i="6" s="1"/>
  <c r="K83" i="6"/>
  <c r="C83" i="6" s="1"/>
  <c r="D83" i="6" s="1"/>
  <c r="K84" i="6"/>
  <c r="C84" i="6" s="1"/>
  <c r="D84" i="6" s="1"/>
  <c r="K85" i="6"/>
  <c r="C85" i="6" s="1"/>
  <c r="K86" i="6"/>
  <c r="C86" i="6" s="1"/>
  <c r="D86" i="6" s="1"/>
  <c r="K87" i="6"/>
  <c r="C87" i="6" s="1"/>
  <c r="K88" i="6"/>
  <c r="C88" i="6" s="1"/>
  <c r="D88" i="6" s="1"/>
  <c r="K89" i="6"/>
  <c r="C89" i="6" s="1"/>
  <c r="K90" i="6"/>
  <c r="C90" i="6" s="1"/>
  <c r="D90" i="6" s="1"/>
  <c r="K91" i="6"/>
  <c r="C91" i="6" s="1"/>
  <c r="D91" i="6" s="1"/>
  <c r="K92" i="6"/>
  <c r="C92" i="6" s="1"/>
  <c r="D92" i="6" s="1"/>
  <c r="K93" i="6"/>
  <c r="C93" i="6" s="1"/>
  <c r="K94" i="6"/>
  <c r="C94" i="6" s="1"/>
  <c r="D94" i="6" s="1"/>
  <c r="K95" i="6"/>
  <c r="C95" i="6" s="1"/>
  <c r="D95" i="6" s="1"/>
  <c r="K96" i="6"/>
  <c r="C96" i="6" s="1"/>
  <c r="D96" i="6" s="1"/>
  <c r="K97" i="6"/>
  <c r="C97" i="6" s="1"/>
  <c r="K98" i="6"/>
  <c r="C98" i="6" s="1"/>
  <c r="D98" i="6" s="1"/>
  <c r="K99" i="6"/>
  <c r="C99" i="6" s="1"/>
  <c r="D99" i="6" s="1"/>
  <c r="K100" i="6"/>
  <c r="C100" i="6" s="1"/>
  <c r="D100" i="6" s="1"/>
  <c r="K101" i="6"/>
  <c r="C101" i="6" s="1"/>
  <c r="K102" i="6"/>
  <c r="C102" i="6" s="1"/>
  <c r="D102" i="6" s="1"/>
  <c r="K103" i="6"/>
  <c r="C103" i="6" s="1"/>
  <c r="D103" i="6" s="1"/>
  <c r="K104" i="6"/>
  <c r="C104" i="6" s="1"/>
  <c r="D104" i="6" s="1"/>
  <c r="K105" i="6"/>
  <c r="C105" i="6" s="1"/>
  <c r="K106" i="6"/>
  <c r="C106" i="6" s="1"/>
  <c r="D106" i="6" s="1"/>
  <c r="K107" i="6"/>
  <c r="C107" i="6" s="1"/>
  <c r="D107" i="6" s="1"/>
  <c r="K108" i="6"/>
  <c r="C108" i="6" s="1"/>
  <c r="D108" i="6" s="1"/>
  <c r="K109" i="6"/>
  <c r="C109" i="6" s="1"/>
  <c r="K110" i="6"/>
  <c r="C110" i="6" s="1"/>
  <c r="D110" i="6" s="1"/>
  <c r="K111" i="6"/>
  <c r="C111" i="6" s="1"/>
  <c r="D111" i="6" s="1"/>
  <c r="K112" i="6"/>
  <c r="C112" i="6" s="1"/>
  <c r="D112" i="6" s="1"/>
  <c r="K113" i="6"/>
  <c r="C113" i="6" s="1"/>
  <c r="K114" i="6"/>
  <c r="C114" i="6" s="1"/>
  <c r="D114" i="6" s="1"/>
  <c r="K115" i="6"/>
  <c r="C115" i="6" s="1"/>
  <c r="D115" i="6" s="1"/>
  <c r="K116" i="6"/>
  <c r="C116" i="6" s="1"/>
  <c r="D116" i="6" s="1"/>
  <c r="K117" i="6"/>
  <c r="C117" i="6" s="1"/>
  <c r="K118" i="6"/>
  <c r="C118" i="6" s="1"/>
  <c r="D118" i="6" s="1"/>
  <c r="K119" i="6"/>
  <c r="C119" i="6" s="1"/>
  <c r="D119" i="6" s="1"/>
  <c r="K120" i="6"/>
  <c r="C120" i="6" s="1"/>
  <c r="D120" i="6" s="1"/>
  <c r="K121" i="6"/>
  <c r="C121" i="6" s="1"/>
  <c r="K122" i="6"/>
  <c r="C122" i="6" s="1"/>
  <c r="D122" i="6" s="1"/>
  <c r="K123" i="6"/>
  <c r="C123" i="6" s="1"/>
  <c r="D123" i="6" s="1"/>
  <c r="K124" i="6"/>
  <c r="C124" i="6" s="1"/>
  <c r="D124" i="6" s="1"/>
  <c r="K125" i="6"/>
  <c r="C125" i="6" s="1"/>
  <c r="K126" i="6"/>
  <c r="C126" i="6" s="1"/>
  <c r="D126" i="6" s="1"/>
  <c r="K127" i="6"/>
  <c r="C127" i="6" s="1"/>
  <c r="D127" i="6" s="1"/>
  <c r="K128" i="6"/>
  <c r="C128" i="6" s="1"/>
  <c r="D128" i="6" s="1"/>
  <c r="K129" i="6"/>
  <c r="C129" i="6" s="1"/>
  <c r="K130" i="6"/>
  <c r="C130" i="6" s="1"/>
  <c r="D130" i="6" s="1"/>
  <c r="K131" i="6"/>
  <c r="C131" i="6" s="1"/>
  <c r="D131" i="6" s="1"/>
  <c r="K132" i="6"/>
  <c r="C132" i="6" s="1"/>
  <c r="D132" i="6" s="1"/>
  <c r="K133" i="6"/>
  <c r="C133" i="6" s="1"/>
  <c r="K134" i="6"/>
  <c r="C134" i="6" s="1"/>
  <c r="D134" i="6" s="1"/>
  <c r="K135" i="6"/>
  <c r="C135" i="6" s="1"/>
  <c r="D135" i="6" s="1"/>
  <c r="K136" i="6"/>
  <c r="C136" i="6" s="1"/>
  <c r="D136" i="6" s="1"/>
  <c r="K137" i="6"/>
  <c r="C137" i="6" s="1"/>
  <c r="K138" i="6"/>
  <c r="C138" i="6" s="1"/>
  <c r="D138" i="6" s="1"/>
  <c r="K139" i="6"/>
  <c r="C139" i="6" s="1"/>
  <c r="D139" i="6" s="1"/>
  <c r="K140" i="6"/>
  <c r="C140" i="6" s="1"/>
  <c r="D140" i="6" s="1"/>
  <c r="K141" i="6"/>
  <c r="C141" i="6" s="1"/>
  <c r="K142" i="6"/>
  <c r="C142" i="6" s="1"/>
  <c r="D142" i="6" s="1"/>
  <c r="K143" i="6"/>
  <c r="C143" i="6" s="1"/>
  <c r="D143" i="6" s="1"/>
  <c r="K144" i="6"/>
  <c r="C144" i="6" s="1"/>
  <c r="D144" i="6" s="1"/>
  <c r="K145" i="6"/>
  <c r="C145" i="6" s="1"/>
  <c r="K146" i="6"/>
  <c r="C146" i="6" s="1"/>
  <c r="D146" i="6" s="1"/>
  <c r="K147" i="6"/>
  <c r="C147" i="6" s="1"/>
  <c r="D147" i="6" s="1"/>
  <c r="K148" i="6"/>
  <c r="C148" i="6" s="1"/>
  <c r="D148" i="6" s="1"/>
  <c r="K149" i="6"/>
  <c r="C149" i="6" s="1"/>
  <c r="K150" i="6"/>
  <c r="C150" i="6" s="1"/>
  <c r="D150" i="6" s="1"/>
  <c r="K151" i="6"/>
  <c r="C151" i="6" s="1"/>
  <c r="D151" i="6" s="1"/>
  <c r="K152" i="6"/>
  <c r="C152" i="6" s="1"/>
  <c r="D152" i="6" s="1"/>
  <c r="K153" i="6"/>
  <c r="C153" i="6" s="1"/>
  <c r="K154" i="6"/>
  <c r="C154" i="6" s="1"/>
  <c r="D154" i="6" s="1"/>
  <c r="K155" i="6"/>
  <c r="C155" i="6" s="1"/>
  <c r="D155" i="6" s="1"/>
  <c r="K156" i="6"/>
  <c r="C156" i="6" s="1"/>
  <c r="D156" i="6" s="1"/>
  <c r="K157" i="6"/>
  <c r="C157" i="6" s="1"/>
  <c r="K158" i="6"/>
  <c r="C158" i="6" s="1"/>
  <c r="D158" i="6" s="1"/>
  <c r="K159" i="6"/>
  <c r="C159" i="6" s="1"/>
  <c r="D159" i="6" s="1"/>
  <c r="K160" i="6"/>
  <c r="C160" i="6" s="1"/>
  <c r="D160" i="6" s="1"/>
  <c r="K161" i="6"/>
  <c r="C161" i="6" s="1"/>
  <c r="K162" i="6"/>
  <c r="C162" i="6" s="1"/>
  <c r="D162" i="6" s="1"/>
  <c r="K163" i="6"/>
  <c r="C163" i="6" s="1"/>
  <c r="D163" i="6" s="1"/>
  <c r="K164" i="6"/>
  <c r="C164" i="6" s="1"/>
  <c r="D164" i="6" s="1"/>
  <c r="K165" i="6"/>
  <c r="C165" i="6" s="1"/>
  <c r="K166" i="6"/>
  <c r="C166" i="6" s="1"/>
  <c r="D166" i="6" s="1"/>
  <c r="K167" i="6"/>
  <c r="C167" i="6" s="1"/>
  <c r="D167" i="6" s="1"/>
  <c r="K168" i="6"/>
  <c r="C168" i="6" s="1"/>
  <c r="D168" i="6" s="1"/>
  <c r="K169" i="6"/>
  <c r="C169" i="6" s="1"/>
  <c r="K170" i="6"/>
  <c r="C170" i="6" s="1"/>
  <c r="D170" i="6" s="1"/>
  <c r="K171" i="6"/>
  <c r="C171" i="6" s="1"/>
  <c r="K172" i="6"/>
  <c r="C172" i="6" s="1"/>
  <c r="D172" i="6" s="1"/>
  <c r="K173" i="6"/>
  <c r="C173" i="6" s="1"/>
  <c r="K174" i="6"/>
  <c r="C174" i="6" s="1"/>
  <c r="D174" i="6" s="1"/>
  <c r="K175" i="6"/>
  <c r="C175" i="6" s="1"/>
  <c r="K176" i="6"/>
  <c r="C176" i="6" s="1"/>
  <c r="D176" i="6" s="1"/>
  <c r="K177" i="6"/>
  <c r="C177" i="6" s="1"/>
  <c r="K178" i="6"/>
  <c r="C178" i="6" s="1"/>
  <c r="D178" i="6" s="1"/>
  <c r="K179" i="6"/>
  <c r="C179" i="6" s="1"/>
  <c r="K180" i="6"/>
  <c r="C180" i="6" s="1"/>
  <c r="D180" i="6" s="1"/>
  <c r="K181" i="6"/>
  <c r="C181" i="6" s="1"/>
  <c r="K182" i="6"/>
  <c r="C182" i="6" s="1"/>
  <c r="D182" i="6" s="1"/>
  <c r="K183" i="6"/>
  <c r="C183" i="6" s="1"/>
  <c r="K184" i="6"/>
  <c r="C184" i="6" s="1"/>
  <c r="D184" i="6" s="1"/>
  <c r="K185" i="6"/>
  <c r="C185" i="6" s="1"/>
  <c r="K186" i="6"/>
  <c r="C186" i="6" s="1"/>
  <c r="D186" i="6" s="1"/>
  <c r="K187" i="6"/>
  <c r="C187" i="6" s="1"/>
  <c r="K188" i="6"/>
  <c r="C188" i="6" s="1"/>
  <c r="D188" i="6" s="1"/>
  <c r="K189" i="6"/>
  <c r="C189" i="6" s="1"/>
  <c r="K190" i="6"/>
  <c r="C190" i="6" s="1"/>
  <c r="D190" i="6" s="1"/>
  <c r="K191" i="6"/>
  <c r="C191" i="6" s="1"/>
  <c r="K192" i="6"/>
  <c r="C192" i="6" s="1"/>
  <c r="D192" i="6" s="1"/>
  <c r="K193" i="6"/>
  <c r="C193" i="6" s="1"/>
  <c r="K194" i="6"/>
  <c r="C194" i="6" s="1"/>
  <c r="D194" i="6" s="1"/>
  <c r="K195" i="6"/>
  <c r="C195" i="6" s="1"/>
  <c r="K196" i="6"/>
  <c r="C196" i="6" s="1"/>
  <c r="D196" i="6" s="1"/>
  <c r="K197" i="6"/>
  <c r="C197" i="6" s="1"/>
  <c r="K198" i="6"/>
  <c r="C198" i="6" s="1"/>
  <c r="D198" i="6" s="1"/>
  <c r="K199" i="6"/>
  <c r="C199" i="6" s="1"/>
  <c r="K200" i="6"/>
  <c r="C200" i="6" s="1"/>
  <c r="D200" i="6" s="1"/>
  <c r="K201" i="6"/>
  <c r="C201" i="6" s="1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D87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B168" i="4" a="1"/>
  <c r="B168" i="4" s="1"/>
  <c r="C168" i="4" s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C198" i="4"/>
  <c r="C195" i="4"/>
  <c r="C194" i="4"/>
  <c r="C191" i="4"/>
  <c r="C190" i="4"/>
  <c r="C186" i="4"/>
  <c r="C182" i="4"/>
  <c r="C179" i="4"/>
  <c r="C178" i="4"/>
  <c r="C175" i="4"/>
  <c r="C174" i="4"/>
  <c r="C170" i="4"/>
  <c r="C167" i="4"/>
  <c r="C166" i="4"/>
  <c r="C163" i="4"/>
  <c r="C162" i="4"/>
  <c r="C158" i="4"/>
  <c r="C154" i="4"/>
  <c r="C151" i="4"/>
  <c r="C150" i="4"/>
  <c r="C147" i="4"/>
  <c r="C146" i="4"/>
  <c r="C142" i="4"/>
  <c r="C138" i="4"/>
  <c r="C135" i="4"/>
  <c r="C134" i="4"/>
  <c r="C131" i="4"/>
  <c r="C130" i="4"/>
  <c r="C126" i="4"/>
  <c r="C122" i="4"/>
  <c r="C119" i="4"/>
  <c r="C118" i="4"/>
  <c r="C115" i="4"/>
  <c r="C114" i="4"/>
  <c r="C110" i="4"/>
  <c r="C106" i="4"/>
  <c r="C103" i="4"/>
  <c r="C102" i="4"/>
  <c r="C99" i="4"/>
  <c r="C98" i="4"/>
  <c r="C94" i="4"/>
  <c r="C90" i="4"/>
  <c r="C87" i="4"/>
  <c r="C86" i="4"/>
  <c r="C83" i="4"/>
  <c r="C82" i="4"/>
  <c r="C78" i="4"/>
  <c r="C74" i="4"/>
  <c r="C71" i="4"/>
  <c r="C70" i="4"/>
  <c r="C67" i="4"/>
  <c r="C66" i="4"/>
  <c r="C62" i="4"/>
  <c r="C58" i="4"/>
  <c r="C55" i="4"/>
  <c r="C54" i="4"/>
  <c r="C51" i="4"/>
  <c r="C50" i="4"/>
  <c r="C46" i="4"/>
  <c r="C42" i="4"/>
  <c r="C39" i="4"/>
  <c r="C38" i="4"/>
  <c r="C35" i="4"/>
  <c r="C34" i="4"/>
  <c r="C30" i="4"/>
  <c r="C26" i="4"/>
  <c r="C23" i="4"/>
  <c r="C22" i="4"/>
  <c r="C19" i="4"/>
  <c r="C18" i="4"/>
  <c r="C14" i="4"/>
  <c r="C10" i="4"/>
  <c r="C7" i="4"/>
  <c r="C6" i="4"/>
  <c r="C3" i="4"/>
  <c r="C2" i="4"/>
  <c r="D20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C201" i="4"/>
  <c r="C200" i="4"/>
  <c r="C199" i="4"/>
  <c r="C197" i="4"/>
  <c r="C196" i="4"/>
  <c r="C193" i="4"/>
  <c r="C192" i="4"/>
  <c r="C189" i="4"/>
  <c r="C188" i="4"/>
  <c r="C187" i="4"/>
  <c r="C185" i="4"/>
  <c r="C184" i="4"/>
  <c r="C183" i="4"/>
  <c r="C181" i="4"/>
  <c r="C180" i="4"/>
  <c r="C177" i="4"/>
  <c r="C176" i="4"/>
  <c r="C173" i="4"/>
  <c r="C172" i="4"/>
  <c r="C171" i="4"/>
  <c r="C169" i="4"/>
  <c r="C165" i="4"/>
  <c r="C164" i="4"/>
  <c r="C161" i="4"/>
  <c r="C160" i="4"/>
  <c r="C159" i="4"/>
  <c r="C157" i="4"/>
  <c r="C156" i="4"/>
  <c r="C155" i="4"/>
  <c r="C153" i="4"/>
  <c r="C152" i="4"/>
  <c r="C149" i="4"/>
  <c r="C148" i="4"/>
  <c r="C145" i="4"/>
  <c r="C144" i="4"/>
  <c r="C143" i="4"/>
  <c r="C141" i="4"/>
  <c r="C140" i="4"/>
  <c r="C139" i="4"/>
  <c r="C137" i="4"/>
  <c r="C136" i="4"/>
  <c r="C133" i="4"/>
  <c r="C132" i="4"/>
  <c r="C129" i="4"/>
  <c r="C128" i="4"/>
  <c r="C127" i="4"/>
  <c r="C125" i="4"/>
  <c r="C124" i="4"/>
  <c r="C123" i="4"/>
  <c r="C121" i="4"/>
  <c r="C120" i="4"/>
  <c r="C117" i="4"/>
  <c r="C116" i="4"/>
  <c r="C113" i="4"/>
  <c r="C112" i="4"/>
  <c r="C111" i="4"/>
  <c r="C109" i="4"/>
  <c r="C108" i="4"/>
  <c r="C107" i="4"/>
  <c r="C105" i="4"/>
  <c r="C104" i="4"/>
  <c r="C101" i="4"/>
  <c r="C100" i="4"/>
  <c r="C97" i="4"/>
  <c r="C96" i="4"/>
  <c r="C95" i="4"/>
  <c r="C93" i="4"/>
  <c r="C92" i="4"/>
  <c r="C91" i="4"/>
  <c r="C89" i="4"/>
  <c r="C88" i="4"/>
  <c r="C85" i="4"/>
  <c r="C84" i="4"/>
  <c r="C81" i="4"/>
  <c r="C80" i="4"/>
  <c r="C79" i="4"/>
  <c r="C77" i="4"/>
  <c r="C76" i="4"/>
  <c r="C75" i="4"/>
  <c r="C73" i="4"/>
  <c r="C72" i="4"/>
  <c r="C69" i="4"/>
  <c r="C68" i="4"/>
  <c r="C65" i="4"/>
  <c r="C64" i="4"/>
  <c r="C63" i="4"/>
  <c r="C61" i="4"/>
  <c r="C60" i="4"/>
  <c r="C59" i="4"/>
  <c r="C57" i="4"/>
  <c r="C56" i="4"/>
  <c r="C53" i="4"/>
  <c r="C52" i="4"/>
  <c r="C49" i="4"/>
  <c r="C48" i="4"/>
  <c r="C47" i="4"/>
  <c r="C45" i="4"/>
  <c r="C44" i="4"/>
  <c r="C43" i="4"/>
  <c r="C41" i="4"/>
  <c r="C40" i="4"/>
  <c r="C37" i="4"/>
  <c r="C36" i="4"/>
  <c r="C33" i="4"/>
  <c r="C32" i="4"/>
  <c r="C31" i="4"/>
  <c r="C29" i="4"/>
  <c r="C28" i="4"/>
  <c r="C27" i="4"/>
  <c r="C25" i="4"/>
  <c r="C24" i="4"/>
  <c r="C21" i="4"/>
  <c r="C20" i="4"/>
  <c r="C17" i="4"/>
  <c r="C16" i="4"/>
  <c r="C15" i="4"/>
  <c r="C13" i="4"/>
  <c r="C12" i="4"/>
  <c r="C11" i="4"/>
  <c r="C9" i="4"/>
  <c r="C8" i="4"/>
  <c r="C5" i="4"/>
  <c r="C4" i="4"/>
  <c r="H161" i="12" l="1" a="1"/>
  <c r="H161" i="12" s="1"/>
  <c r="H60" i="12" a="1"/>
  <c r="H60" i="12" s="1"/>
  <c r="F69" i="12" a="1"/>
  <c r="F69" i="12" s="1"/>
  <c r="H138" i="12" a="1"/>
  <c r="H138" i="12" s="1"/>
  <c r="H12" i="12" a="1"/>
  <c r="H12" i="12" s="1"/>
  <c r="I170" i="12" a="1"/>
  <c r="I170" i="12" s="1"/>
  <c r="H122" i="12" a="1"/>
  <c r="H122" i="12" s="1"/>
  <c r="K201" i="12" a="1"/>
  <c r="K201" i="12" s="1"/>
  <c r="F201" i="12" a="1"/>
  <c r="F201" i="12" s="1"/>
  <c r="H164" i="12" a="1"/>
  <c r="H164" i="12" s="1"/>
  <c r="K185" i="12" a="1"/>
  <c r="K185" i="12" s="1"/>
  <c r="K37" i="12" a="1"/>
  <c r="K37" i="12" s="1"/>
  <c r="H37" i="12" a="1"/>
  <c r="H37" i="12" s="1"/>
  <c r="I5" i="12" a="1"/>
  <c r="I5" i="12" s="1"/>
  <c r="H5" i="12" a="1"/>
  <c r="H5" i="12" s="1"/>
  <c r="K5" i="12" a="1"/>
  <c r="K5" i="12" s="1"/>
  <c r="K9" i="12" a="1"/>
  <c r="K9" i="12" s="1"/>
  <c r="H9" i="12" a="1"/>
  <c r="H9" i="12" s="1"/>
  <c r="F21" i="12" a="1"/>
  <c r="F21" i="12" s="1"/>
  <c r="K21" i="12" a="1"/>
  <c r="K21" i="12" s="1"/>
  <c r="H21" i="12" a="1"/>
  <c r="H21" i="12" s="1"/>
  <c r="K3" i="12" a="1"/>
  <c r="K3" i="12" s="1"/>
  <c r="H3" i="12" a="1"/>
  <c r="H3" i="12" s="1"/>
  <c r="H13" i="12" a="1"/>
  <c r="H13" i="12" s="1"/>
  <c r="K13" i="12" a="1"/>
  <c r="K13" i="12" s="1"/>
  <c r="K17" i="12" a="1"/>
  <c r="K17" i="12" s="1"/>
  <c r="H17" i="12" a="1"/>
  <c r="H17" i="12" s="1"/>
  <c r="H25" i="12" a="1"/>
  <c r="H25" i="12" s="1"/>
  <c r="F25" i="12" a="1"/>
  <c r="F25" i="12" s="1"/>
  <c r="K25" i="12" a="1"/>
  <c r="K25" i="12" s="1"/>
  <c r="K29" i="12" a="1"/>
  <c r="K29" i="12" s="1"/>
  <c r="H29" i="12" a="1"/>
  <c r="H29" i="12" s="1"/>
  <c r="K33" i="12" a="1"/>
  <c r="K33" i="12" s="1"/>
  <c r="H33" i="12" a="1"/>
  <c r="H33" i="12" s="1"/>
  <c r="G22" i="12" a="1"/>
  <c r="G22" i="12" s="1"/>
  <c r="K22" i="12" a="1"/>
  <c r="K22" i="12" s="1"/>
  <c r="H22" i="12" a="1"/>
  <c r="H22" i="12" s="1"/>
  <c r="F32" i="12" a="1"/>
  <c r="F32" i="12" s="1"/>
  <c r="K32" i="12" a="1"/>
  <c r="K32" i="12" s="1"/>
  <c r="H32" i="12" a="1"/>
  <c r="H32" i="12" s="1"/>
  <c r="K38" i="12" a="1"/>
  <c r="K38" i="12" s="1"/>
  <c r="H38" i="12" a="1"/>
  <c r="H38" i="12" s="1"/>
  <c r="K52" i="12" a="1"/>
  <c r="K52" i="12" s="1"/>
  <c r="H52" i="12" a="1"/>
  <c r="H52" i="12" s="1"/>
  <c r="F64" i="12" a="1"/>
  <c r="F64" i="12" s="1"/>
  <c r="K64" i="12" a="1"/>
  <c r="K64" i="12" s="1"/>
  <c r="H64" i="12" a="1"/>
  <c r="H64" i="12" s="1"/>
  <c r="K70" i="12" a="1"/>
  <c r="K70" i="12" s="1"/>
  <c r="H70" i="12" a="1"/>
  <c r="H70" i="12" s="1"/>
  <c r="I106" i="12" a="1"/>
  <c r="I106" i="12" s="1"/>
  <c r="K106" i="12" a="1"/>
  <c r="K106" i="12" s="1"/>
  <c r="G150" i="12" a="1"/>
  <c r="G150" i="12" s="1"/>
  <c r="K150" i="12" a="1"/>
  <c r="K150" i="12" s="1"/>
  <c r="F170" i="12" a="1"/>
  <c r="F170" i="12" s="1"/>
  <c r="K170" i="12" a="1"/>
  <c r="K170" i="12" s="1"/>
  <c r="F174" i="12" a="1"/>
  <c r="F174" i="12" s="1"/>
  <c r="K174" i="12" a="1"/>
  <c r="K174" i="12" s="1"/>
  <c r="F186" i="12" a="1"/>
  <c r="F186" i="12" s="1"/>
  <c r="K186" i="12" a="1"/>
  <c r="K186" i="12" s="1"/>
  <c r="F198" i="12" a="1"/>
  <c r="F198" i="12" s="1"/>
  <c r="K198" i="12" a="1"/>
  <c r="K198" i="12" s="1"/>
  <c r="F164" i="12" a="1"/>
  <c r="F164" i="12" s="1"/>
  <c r="F146" i="12" a="1"/>
  <c r="F146" i="12" s="1"/>
  <c r="H193" i="12" a="1"/>
  <c r="H193" i="12" s="1"/>
  <c r="H189" i="12" a="1"/>
  <c r="H189" i="12" s="1"/>
  <c r="H181" i="12" a="1"/>
  <c r="H181" i="12" s="1"/>
  <c r="H173" i="12" a="1"/>
  <c r="H173" i="12" s="1"/>
  <c r="H166" i="12" a="1"/>
  <c r="H166" i="12" s="1"/>
  <c r="H157" i="12" a="1"/>
  <c r="H157" i="12" s="1"/>
  <c r="H150" i="12" a="1"/>
  <c r="H150" i="12" s="1"/>
  <c r="H125" i="12" a="1"/>
  <c r="H125" i="12" s="1"/>
  <c r="H118" i="12" a="1"/>
  <c r="H118" i="12" s="1"/>
  <c r="H83" i="12" a="1"/>
  <c r="H83" i="12" s="1"/>
  <c r="K166" i="12" a="1"/>
  <c r="K166" i="12" s="1"/>
  <c r="K73" i="12" a="1"/>
  <c r="K73" i="12" s="1"/>
  <c r="K6" i="12" a="1"/>
  <c r="K6" i="12" s="1"/>
  <c r="H6" i="12" a="1"/>
  <c r="H6" i="12" s="1"/>
  <c r="G36" i="12" a="1"/>
  <c r="G36" i="12" s="1"/>
  <c r="K36" i="12" a="1"/>
  <c r="K36" i="12" s="1"/>
  <c r="H36" i="12" a="1"/>
  <c r="H36" i="12" s="1"/>
  <c r="K44" i="12" a="1"/>
  <c r="K44" i="12" s="1"/>
  <c r="H44" i="12" a="1"/>
  <c r="H44" i="12" s="1"/>
  <c r="F54" i="12" a="1"/>
  <c r="F54" i="12" s="1"/>
  <c r="K54" i="12" a="1"/>
  <c r="K54" i="12" s="1"/>
  <c r="H54" i="12" a="1"/>
  <c r="H54" i="12" s="1"/>
  <c r="I62" i="12" a="1"/>
  <c r="I62" i="12" s="1"/>
  <c r="K62" i="12" a="1"/>
  <c r="K62" i="12" s="1"/>
  <c r="K68" i="12" a="1"/>
  <c r="K68" i="12" s="1"/>
  <c r="H68" i="12" a="1"/>
  <c r="H68" i="12" s="1"/>
  <c r="J130" i="12" a="1"/>
  <c r="J130" i="12" s="1"/>
  <c r="K130" i="12" a="1"/>
  <c r="K130" i="12" s="1"/>
  <c r="F161" i="12" a="1"/>
  <c r="F161" i="12" s="1"/>
  <c r="F130" i="12" a="1"/>
  <c r="F130" i="12" s="1"/>
  <c r="G164" i="12" a="1"/>
  <c r="G164" i="12" s="1"/>
  <c r="H192" i="12" a="1"/>
  <c r="H192" i="12" s="1"/>
  <c r="H146" i="12" a="1"/>
  <c r="H146" i="12" s="1"/>
  <c r="H130" i="12" a="1"/>
  <c r="H130" i="12" s="1"/>
  <c r="H98" i="12" a="1"/>
  <c r="H98" i="12" s="1"/>
  <c r="H82" i="12" a="1"/>
  <c r="H82" i="12" s="1"/>
  <c r="H74" i="12" a="1"/>
  <c r="H74" i="12" s="1"/>
  <c r="H30" i="12" a="1"/>
  <c r="H30" i="12" s="1"/>
  <c r="K69" i="12" a="1"/>
  <c r="K69" i="12" s="1"/>
  <c r="K45" i="12" a="1"/>
  <c r="K45" i="12" s="1"/>
  <c r="H45" i="12" a="1"/>
  <c r="H45" i="12" s="1"/>
  <c r="K49" i="12" a="1"/>
  <c r="K49" i="12" s="1"/>
  <c r="H49" i="12" a="1"/>
  <c r="H49" i="12" s="1"/>
  <c r="F57" i="12" a="1"/>
  <c r="F57" i="12" s="1"/>
  <c r="H57" i="12" a="1"/>
  <c r="H57" i="12" s="1"/>
  <c r="K61" i="12" a="1"/>
  <c r="K61" i="12" s="1"/>
  <c r="H61" i="12" a="1"/>
  <c r="H61" i="12" s="1"/>
  <c r="F65" i="12" a="1"/>
  <c r="F65" i="12" s="1"/>
  <c r="K65" i="12" a="1"/>
  <c r="K65" i="12" s="1"/>
  <c r="H65" i="12" a="1"/>
  <c r="H65" i="12" s="1"/>
  <c r="K77" i="12" a="1"/>
  <c r="K77" i="12" s="1"/>
  <c r="H77" i="12" a="1"/>
  <c r="H77" i="12" s="1"/>
  <c r="F157" i="12" a="1"/>
  <c r="F157" i="12" s="1"/>
  <c r="F125" i="12" a="1"/>
  <c r="F125" i="12" s="1"/>
  <c r="G107" i="12" a="1"/>
  <c r="G107" i="12" s="1"/>
  <c r="H165" i="12" a="1"/>
  <c r="H165" i="12" s="1"/>
  <c r="H158" i="12" a="1"/>
  <c r="H158" i="12" s="1"/>
  <c r="H123" i="12" a="1"/>
  <c r="H123" i="12" s="1"/>
  <c r="H107" i="12" a="1"/>
  <c r="H107" i="12" s="1"/>
  <c r="H91" i="12" a="1"/>
  <c r="H91" i="12" s="1"/>
  <c r="H62" i="12" a="1"/>
  <c r="H62" i="12" s="1"/>
  <c r="H53" i="12" a="1"/>
  <c r="H53" i="12" s="1"/>
  <c r="H4" i="12" a="1"/>
  <c r="H4" i="12" s="1"/>
  <c r="K41" i="12" a="1"/>
  <c r="K41" i="12" s="1"/>
  <c r="J3" i="12" a="1"/>
  <c r="J3" i="12" s="1"/>
  <c r="I3" i="12" a="1"/>
  <c r="I3" i="12" s="1"/>
  <c r="G3" i="12" a="1"/>
  <c r="G3" i="12" s="1"/>
  <c r="G41" i="12" a="1"/>
  <c r="G41" i="12" s="1"/>
  <c r="J41" i="12" a="1"/>
  <c r="J41" i="12" s="1"/>
  <c r="F41" i="12" a="1"/>
  <c r="F41" i="12" s="1"/>
  <c r="I41" i="12" a="1"/>
  <c r="I41" i="12" s="1"/>
  <c r="G73" i="12" a="1"/>
  <c r="G73" i="12" s="1"/>
  <c r="J73" i="12" a="1"/>
  <c r="J73" i="12" s="1"/>
  <c r="I73" i="12" a="1"/>
  <c r="I73" i="12" s="1"/>
  <c r="J83" i="12" a="1"/>
  <c r="J83" i="12" s="1"/>
  <c r="G83" i="12" a="1"/>
  <c r="G83" i="12" s="1"/>
  <c r="I83" i="12" a="1"/>
  <c r="I83" i="12" s="1"/>
  <c r="I91" i="12" a="1"/>
  <c r="I91" i="12" s="1"/>
  <c r="J91" i="12" a="1"/>
  <c r="J91" i="12" s="1"/>
  <c r="F91" i="12" a="1"/>
  <c r="F91" i="12" s="1"/>
  <c r="G91" i="12" a="1"/>
  <c r="G91" i="12" s="1"/>
  <c r="J107" i="12" a="1"/>
  <c r="J107" i="12" s="1"/>
  <c r="I107" i="12" a="1"/>
  <c r="I107" i="12" s="1"/>
  <c r="G123" i="12" a="1"/>
  <c r="G123" i="12" s="1"/>
  <c r="I123" i="12" a="1"/>
  <c r="I123" i="12" s="1"/>
  <c r="J123" i="12" a="1"/>
  <c r="J123" i="12" s="1"/>
  <c r="J125" i="12" a="1"/>
  <c r="J125" i="12" s="1"/>
  <c r="I125" i="12" a="1"/>
  <c r="I125" i="12" s="1"/>
  <c r="G125" i="12" a="1"/>
  <c r="G125" i="12" s="1"/>
  <c r="J157" i="12" a="1"/>
  <c r="J157" i="12" s="1"/>
  <c r="I157" i="12" a="1"/>
  <c r="I157" i="12" s="1"/>
  <c r="J161" i="12" a="1"/>
  <c r="J161" i="12" s="1"/>
  <c r="I161" i="12" a="1"/>
  <c r="I161" i="12" s="1"/>
  <c r="G161" i="12" a="1"/>
  <c r="G161" i="12" s="1"/>
  <c r="G165" i="12" a="1"/>
  <c r="G165" i="12" s="1"/>
  <c r="I165" i="12" a="1"/>
  <c r="I165" i="12" s="1"/>
  <c r="J165" i="12" a="1"/>
  <c r="J165" i="12" s="1"/>
  <c r="G173" i="12" a="1"/>
  <c r="G173" i="12" s="1"/>
  <c r="I173" i="12" a="1"/>
  <c r="I173" i="12" s="1"/>
  <c r="I181" i="12" a="1"/>
  <c r="I181" i="12" s="1"/>
  <c r="G181" i="12" a="1"/>
  <c r="G181" i="12" s="1"/>
  <c r="J181" i="12" a="1"/>
  <c r="J181" i="12" s="1"/>
  <c r="J185" i="12" a="1"/>
  <c r="J185" i="12" s="1"/>
  <c r="I185" i="12" a="1"/>
  <c r="I185" i="12" s="1"/>
  <c r="G185" i="12" a="1"/>
  <c r="G185" i="12" s="1"/>
  <c r="G189" i="12" a="1"/>
  <c r="G189" i="12" s="1"/>
  <c r="I189" i="12" a="1"/>
  <c r="I189" i="12" s="1"/>
  <c r="J193" i="12" a="1"/>
  <c r="J193" i="12" s="1"/>
  <c r="G193" i="12" a="1"/>
  <c r="G193" i="12" s="1"/>
  <c r="I193" i="12" a="1"/>
  <c r="I193" i="12" s="1"/>
  <c r="J201" i="12" a="1"/>
  <c r="J201" i="12" s="1"/>
  <c r="I201" i="12" a="1"/>
  <c r="I201" i="12" s="1"/>
  <c r="G201" i="12" a="1"/>
  <c r="G201" i="12" s="1"/>
  <c r="F123" i="12" a="1"/>
  <c r="F123" i="12" s="1"/>
  <c r="G157" i="12" a="1"/>
  <c r="G157" i="12" s="1"/>
  <c r="J5" i="12" a="1"/>
  <c r="J5" i="12" s="1"/>
  <c r="F5" i="12" a="1"/>
  <c r="F5" i="12" s="1"/>
  <c r="G5" i="12" a="1"/>
  <c r="G5" i="12" s="1"/>
  <c r="J9" i="12" a="1"/>
  <c r="J9" i="12" s="1"/>
  <c r="I9" i="12" a="1"/>
  <c r="I9" i="12" s="1"/>
  <c r="F9" i="12" a="1"/>
  <c r="F9" i="12" s="1"/>
  <c r="J13" i="12" a="1"/>
  <c r="J13" i="12" s="1"/>
  <c r="I13" i="12" a="1"/>
  <c r="I13" i="12" s="1"/>
  <c r="G13" i="12" a="1"/>
  <c r="G13" i="12" s="1"/>
  <c r="F13" i="12" a="1"/>
  <c r="F13" i="12" s="1"/>
  <c r="I17" i="12" a="1"/>
  <c r="I17" i="12" s="1"/>
  <c r="G17" i="12" a="1"/>
  <c r="G17" i="12" s="1"/>
  <c r="J17" i="12" a="1"/>
  <c r="J17" i="12" s="1"/>
  <c r="F17" i="12" a="1"/>
  <c r="F17" i="12" s="1"/>
  <c r="I21" i="12" a="1"/>
  <c r="I21" i="12" s="1"/>
  <c r="J21" i="12" a="1"/>
  <c r="J21" i="12" s="1"/>
  <c r="G21" i="12" a="1"/>
  <c r="G21" i="12" s="1"/>
  <c r="I25" i="12" a="1"/>
  <c r="I25" i="12" s="1"/>
  <c r="G25" i="12" a="1"/>
  <c r="G25" i="12" s="1"/>
  <c r="J29" i="12" a="1"/>
  <c r="J29" i="12" s="1"/>
  <c r="I29" i="12" a="1"/>
  <c r="I29" i="12" s="1"/>
  <c r="F29" i="12" a="1"/>
  <c r="F29" i="12" s="1"/>
  <c r="J33" i="12" a="1"/>
  <c r="J33" i="12" s="1"/>
  <c r="F33" i="12" a="1"/>
  <c r="F33" i="12" s="1"/>
  <c r="G33" i="12" a="1"/>
  <c r="G33" i="12" s="1"/>
  <c r="I33" i="12" a="1"/>
  <c r="I33" i="12" s="1"/>
  <c r="G37" i="12" a="1"/>
  <c r="G37" i="12" s="1"/>
  <c r="I37" i="12" a="1"/>
  <c r="I37" i="12" s="1"/>
  <c r="F37" i="12" a="1"/>
  <c r="F37" i="12" s="1"/>
  <c r="J37" i="12" a="1"/>
  <c r="J37" i="12" s="1"/>
  <c r="J45" i="12" a="1"/>
  <c r="J45" i="12" s="1"/>
  <c r="I45" i="12" a="1"/>
  <c r="I45" i="12" s="1"/>
  <c r="G45" i="12" a="1"/>
  <c r="G45" i="12" s="1"/>
  <c r="F45" i="12" a="1"/>
  <c r="F45" i="12" s="1"/>
  <c r="I49" i="12" a="1"/>
  <c r="I49" i="12" s="1"/>
  <c r="J49" i="12" a="1"/>
  <c r="J49" i="12" s="1"/>
  <c r="G49" i="12" a="1"/>
  <c r="G49" i="12" s="1"/>
  <c r="F49" i="12" a="1"/>
  <c r="F49" i="12" s="1"/>
  <c r="I53" i="12" a="1"/>
  <c r="I53" i="12" s="1"/>
  <c r="J53" i="12" a="1"/>
  <c r="J53" i="12" s="1"/>
  <c r="G53" i="12" a="1"/>
  <c r="G53" i="12" s="1"/>
  <c r="F53" i="12" a="1"/>
  <c r="F53" i="12" s="1"/>
  <c r="I57" i="12" a="1"/>
  <c r="I57" i="12" s="1"/>
  <c r="J57" i="12" a="1"/>
  <c r="J57" i="12" s="1"/>
  <c r="G57" i="12" a="1"/>
  <c r="G57" i="12" s="1"/>
  <c r="J61" i="12" a="1"/>
  <c r="J61" i="12" s="1"/>
  <c r="G61" i="12" a="1"/>
  <c r="G61" i="12" s="1"/>
  <c r="I61" i="12" a="1"/>
  <c r="I61" i="12" s="1"/>
  <c r="J65" i="12" a="1"/>
  <c r="J65" i="12" s="1"/>
  <c r="I65" i="12" a="1"/>
  <c r="I65" i="12" s="1"/>
  <c r="G69" i="12" a="1"/>
  <c r="G69" i="12" s="1"/>
  <c r="J69" i="12" a="1"/>
  <c r="J69" i="12" s="1"/>
  <c r="I69" i="12" a="1"/>
  <c r="I69" i="12" s="1"/>
  <c r="J77" i="12" a="1"/>
  <c r="J77" i="12" s="1"/>
  <c r="I77" i="12" a="1"/>
  <c r="I77" i="12" s="1"/>
  <c r="F77" i="12" a="1"/>
  <c r="F77" i="12" s="1"/>
  <c r="G77" i="12" a="1"/>
  <c r="G77" i="12" s="1"/>
  <c r="F193" i="12" a="1"/>
  <c r="F193" i="12" s="1"/>
  <c r="F189" i="12" a="1"/>
  <c r="F189" i="12" s="1"/>
  <c r="F185" i="12" a="1"/>
  <c r="F185" i="12" s="1"/>
  <c r="F181" i="12" a="1"/>
  <c r="F181" i="12" s="1"/>
  <c r="F173" i="12" a="1"/>
  <c r="F173" i="12" s="1"/>
  <c r="F83" i="12" a="1"/>
  <c r="F83" i="12" s="1"/>
  <c r="F73" i="12" a="1"/>
  <c r="F73" i="12" s="1"/>
  <c r="F3" i="12" a="1"/>
  <c r="F3" i="12" s="1"/>
  <c r="G65" i="12" a="1"/>
  <c r="G65" i="12" s="1"/>
  <c r="G9" i="12" a="1"/>
  <c r="G9" i="12" s="1"/>
  <c r="J189" i="12" a="1"/>
  <c r="J189" i="12" s="1"/>
  <c r="J25" i="12" a="1"/>
  <c r="J25" i="12" s="1"/>
  <c r="F4" i="12" a="1"/>
  <c r="F4" i="12" s="1"/>
  <c r="J4" i="12" a="1"/>
  <c r="J4" i="12" s="1"/>
  <c r="G4" i="12" a="1"/>
  <c r="G4" i="12" s="1"/>
  <c r="I4" i="12" a="1"/>
  <c r="I4" i="12" s="1"/>
  <c r="I6" i="12" a="1"/>
  <c r="I6" i="12" s="1"/>
  <c r="G6" i="12" a="1"/>
  <c r="G6" i="12" s="1"/>
  <c r="J6" i="12" a="1"/>
  <c r="J6" i="12" s="1"/>
  <c r="F6" i="12" a="1"/>
  <c r="F6" i="12" s="1"/>
  <c r="F12" i="12" a="1"/>
  <c r="F12" i="12" s="1"/>
  <c r="I12" i="12" a="1"/>
  <c r="I12" i="12" s="1"/>
  <c r="G12" i="12" a="1"/>
  <c r="G12" i="12" s="1"/>
  <c r="J22" i="12" a="1"/>
  <c r="J22" i="12" s="1"/>
  <c r="I22" i="12" a="1"/>
  <c r="I22" i="12" s="1"/>
  <c r="F22" i="12" a="1"/>
  <c r="F22" i="12" s="1"/>
  <c r="G30" i="12" a="1"/>
  <c r="G30" i="12" s="1"/>
  <c r="I30" i="12" a="1"/>
  <c r="I30" i="12" s="1"/>
  <c r="F30" i="12" a="1"/>
  <c r="F30" i="12" s="1"/>
  <c r="J30" i="12" a="1"/>
  <c r="J30" i="12" s="1"/>
  <c r="J32" i="12" a="1"/>
  <c r="J32" i="12" s="1"/>
  <c r="I32" i="12" a="1"/>
  <c r="I32" i="12" s="1"/>
  <c r="G32" i="12" a="1"/>
  <c r="G32" i="12" s="1"/>
  <c r="J36" i="12" a="1"/>
  <c r="J36" i="12" s="1"/>
  <c r="I36" i="12" a="1"/>
  <c r="I36" i="12" s="1"/>
  <c r="F36" i="12" a="1"/>
  <c r="F36" i="12" s="1"/>
  <c r="J38" i="12" a="1"/>
  <c r="J38" i="12" s="1"/>
  <c r="I38" i="12" a="1"/>
  <c r="I38" i="12" s="1"/>
  <c r="G38" i="12" a="1"/>
  <c r="G38" i="12" s="1"/>
  <c r="F38" i="12" a="1"/>
  <c r="F38" i="12" s="1"/>
  <c r="G44" i="12" a="1"/>
  <c r="G44" i="12" s="1"/>
  <c r="F44" i="12" a="1"/>
  <c r="F44" i="12" s="1"/>
  <c r="I44" i="12" a="1"/>
  <c r="I44" i="12" s="1"/>
  <c r="J44" i="12" a="1"/>
  <c r="J44" i="12" s="1"/>
  <c r="I52" i="12" a="1"/>
  <c r="I52" i="12" s="1"/>
  <c r="J52" i="12" a="1"/>
  <c r="J52" i="12" s="1"/>
  <c r="G52" i="12" a="1"/>
  <c r="G52" i="12" s="1"/>
  <c r="F52" i="12" a="1"/>
  <c r="F52" i="12" s="1"/>
  <c r="J54" i="12" a="1"/>
  <c r="J54" i="12" s="1"/>
  <c r="I54" i="12" a="1"/>
  <c r="I54" i="12" s="1"/>
  <c r="G54" i="12" a="1"/>
  <c r="G54" i="12" s="1"/>
  <c r="I60" i="12" a="1"/>
  <c r="I60" i="12" s="1"/>
  <c r="J60" i="12" a="1"/>
  <c r="J60" i="12" s="1"/>
  <c r="G60" i="12" a="1"/>
  <c r="G60" i="12" s="1"/>
  <c r="F60" i="12" a="1"/>
  <c r="F60" i="12" s="1"/>
  <c r="G62" i="12" a="1"/>
  <c r="G62" i="12" s="1"/>
  <c r="F62" i="12" a="1"/>
  <c r="F62" i="12" s="1"/>
  <c r="J62" i="12" a="1"/>
  <c r="J62" i="12" s="1"/>
  <c r="J64" i="12" a="1"/>
  <c r="J64" i="12" s="1"/>
  <c r="I64" i="12" a="1"/>
  <c r="I64" i="12" s="1"/>
  <c r="G64" i="12" a="1"/>
  <c r="G64" i="12" s="1"/>
  <c r="J68" i="12" a="1"/>
  <c r="J68" i="12" s="1"/>
  <c r="I68" i="12" a="1"/>
  <c r="I68" i="12" s="1"/>
  <c r="G68" i="12" a="1"/>
  <c r="G68" i="12" s="1"/>
  <c r="F68" i="12" a="1"/>
  <c r="F68" i="12" s="1"/>
  <c r="J70" i="12" a="1"/>
  <c r="J70" i="12" s="1"/>
  <c r="I70" i="12" a="1"/>
  <c r="I70" i="12" s="1"/>
  <c r="F70" i="12" a="1"/>
  <c r="F70" i="12" s="1"/>
  <c r="G70" i="12" a="1"/>
  <c r="G70" i="12" s="1"/>
  <c r="J74" i="12" a="1"/>
  <c r="J74" i="12" s="1"/>
  <c r="I74" i="12" a="1"/>
  <c r="I74" i="12" s="1"/>
  <c r="F74" i="12" a="1"/>
  <c r="F74" i="12" s="1"/>
  <c r="G74" i="12" a="1"/>
  <c r="G74" i="12" s="1"/>
  <c r="I82" i="12" a="1"/>
  <c r="I82" i="12" s="1"/>
  <c r="J82" i="12" a="1"/>
  <c r="J82" i="12" s="1"/>
  <c r="G82" i="12" a="1"/>
  <c r="G82" i="12" s="1"/>
  <c r="F82" i="12" a="1"/>
  <c r="F82" i="12" s="1"/>
  <c r="F98" i="12" a="1"/>
  <c r="F98" i="12" s="1"/>
  <c r="J98" i="12" a="1"/>
  <c r="J98" i="12" s="1"/>
  <c r="G98" i="12" a="1"/>
  <c r="G98" i="12" s="1"/>
  <c r="I98" i="12" a="1"/>
  <c r="I98" i="12" s="1"/>
  <c r="J106" i="12" a="1"/>
  <c r="J106" i="12" s="1"/>
  <c r="F106" i="12" a="1"/>
  <c r="F106" i="12" s="1"/>
  <c r="G106" i="12" a="1"/>
  <c r="G106" i="12" s="1"/>
  <c r="J118" i="12" a="1"/>
  <c r="J118" i="12" s="1"/>
  <c r="I118" i="12" a="1"/>
  <c r="I118" i="12" s="1"/>
  <c r="G118" i="12" a="1"/>
  <c r="G118" i="12" s="1"/>
  <c r="F118" i="12" a="1"/>
  <c r="F118" i="12" s="1"/>
  <c r="G122" i="12" a="1"/>
  <c r="G122" i="12" s="1"/>
  <c r="I122" i="12" a="1"/>
  <c r="I122" i="12" s="1"/>
  <c r="J122" i="12" a="1"/>
  <c r="J122" i="12" s="1"/>
  <c r="F122" i="12" a="1"/>
  <c r="F122" i="12" s="1"/>
  <c r="G130" i="12" a="1"/>
  <c r="G130" i="12" s="1"/>
  <c r="I130" i="12" a="1"/>
  <c r="I130" i="12" s="1"/>
  <c r="J138" i="12" a="1"/>
  <c r="J138" i="12" s="1"/>
  <c r="F138" i="12" a="1"/>
  <c r="F138" i="12" s="1"/>
  <c r="G138" i="12" a="1"/>
  <c r="G138" i="12" s="1"/>
  <c r="I138" i="12" a="1"/>
  <c r="I138" i="12" s="1"/>
  <c r="J146" i="12" a="1"/>
  <c r="J146" i="12" s="1"/>
  <c r="I146" i="12" a="1"/>
  <c r="I146" i="12" s="1"/>
  <c r="G146" i="12" a="1"/>
  <c r="G146" i="12" s="1"/>
  <c r="J150" i="12" a="1"/>
  <c r="J150" i="12" s="1"/>
  <c r="I150" i="12" a="1"/>
  <c r="I150" i="12" s="1"/>
  <c r="G158" i="12" a="1"/>
  <c r="G158" i="12" s="1"/>
  <c r="I158" i="12" a="1"/>
  <c r="I158" i="12" s="1"/>
  <c r="J158" i="12" a="1"/>
  <c r="J158" i="12" s="1"/>
  <c r="J164" i="12" a="1"/>
  <c r="J164" i="12" s="1"/>
  <c r="I164" i="12" a="1"/>
  <c r="I164" i="12" s="1"/>
  <c r="G166" i="12" a="1"/>
  <c r="G166" i="12" s="1"/>
  <c r="I166" i="12" a="1"/>
  <c r="I166" i="12" s="1"/>
  <c r="J166" i="12" a="1"/>
  <c r="J166" i="12" s="1"/>
  <c r="J170" i="12" a="1"/>
  <c r="J170" i="12" s="1"/>
  <c r="G170" i="12" a="1"/>
  <c r="G170" i="12" s="1"/>
  <c r="J174" i="12" a="1"/>
  <c r="J174" i="12" s="1"/>
  <c r="I174" i="12" a="1"/>
  <c r="I174" i="12" s="1"/>
  <c r="G174" i="12" a="1"/>
  <c r="G174" i="12" s="1"/>
  <c r="J186" i="12" a="1"/>
  <c r="J186" i="12" s="1"/>
  <c r="I186" i="12" a="1"/>
  <c r="I186" i="12" s="1"/>
  <c r="G186" i="12" a="1"/>
  <c r="G186" i="12" s="1"/>
  <c r="J192" i="12" a="1"/>
  <c r="J192" i="12" s="1"/>
  <c r="G192" i="12" a="1"/>
  <c r="G192" i="12" s="1"/>
  <c r="I192" i="12" a="1"/>
  <c r="I192" i="12" s="1"/>
  <c r="J198" i="12" a="1"/>
  <c r="J198" i="12" s="1"/>
  <c r="I198" i="12" a="1"/>
  <c r="I198" i="12" s="1"/>
  <c r="G198" i="12" a="1"/>
  <c r="G198" i="12" s="1"/>
  <c r="F192" i="12" a="1"/>
  <c r="F192" i="12" s="1"/>
  <c r="F165" i="12" a="1"/>
  <c r="F165" i="12" s="1"/>
  <c r="F158" i="12" a="1"/>
  <c r="F158" i="12" s="1"/>
  <c r="F107" i="12" a="1"/>
  <c r="F107" i="12" s="1"/>
  <c r="F61" i="12" a="1"/>
  <c r="F61" i="12" s="1"/>
  <c r="G29" i="12" a="1"/>
  <c r="G29" i="12" s="1"/>
  <c r="J173" i="12" a="1"/>
  <c r="J173" i="12" s="1"/>
  <c r="J12" i="12" a="1"/>
  <c r="J12" i="12" s="1"/>
  <c r="C45" i="12"/>
  <c r="D45" i="12" s="1"/>
  <c r="C64" i="12"/>
  <c r="D64" i="12" s="1"/>
  <c r="E141" i="12"/>
  <c r="E16" i="12"/>
  <c r="E47" i="12"/>
  <c r="C106" i="12"/>
  <c r="D106" i="12" s="1"/>
  <c r="C12" i="12"/>
  <c r="D12" i="12" s="1"/>
  <c r="E11" i="12"/>
  <c r="E27" i="12"/>
  <c r="E14" i="12"/>
  <c r="E48" i="12"/>
  <c r="E81" i="12"/>
  <c r="C164" i="12"/>
  <c r="D164" i="12" s="1"/>
  <c r="E187" i="12"/>
  <c r="C62" i="12"/>
  <c r="D62" i="12" s="1"/>
  <c r="C68" i="12"/>
  <c r="D68" i="12" s="1"/>
  <c r="E163" i="12"/>
  <c r="E20" i="12"/>
  <c r="C33" i="12"/>
  <c r="D33" i="12" s="1"/>
  <c r="E46" i="12"/>
  <c r="C65" i="12"/>
  <c r="D65" i="12" s="1"/>
  <c r="E119" i="12"/>
  <c r="E152" i="12"/>
  <c r="C3" i="12"/>
  <c r="D3" i="12" s="1"/>
  <c r="E8" i="12"/>
  <c r="E15" i="12"/>
  <c r="E28" i="12"/>
  <c r="C49" i="12"/>
  <c r="D49" i="12" s="1"/>
  <c r="C52" i="12"/>
  <c r="D52" i="12" s="1"/>
  <c r="C61" i="12"/>
  <c r="D61" i="12" s="1"/>
  <c r="E63" i="12"/>
  <c r="E99" i="12"/>
  <c r="E121" i="12"/>
  <c r="E171" i="12"/>
  <c r="C181" i="12"/>
  <c r="D181" i="12" s="1"/>
  <c r="C186" i="12"/>
  <c r="D186" i="12" s="1"/>
  <c r="E133" i="12"/>
  <c r="E168" i="12"/>
  <c r="E179" i="12"/>
  <c r="E180" i="12"/>
  <c r="E183" i="12"/>
  <c r="C13" i="12"/>
  <c r="D13" i="12" s="1"/>
  <c r="E24" i="12"/>
  <c r="E40" i="12"/>
  <c r="E113" i="12"/>
  <c r="E139" i="12"/>
  <c r="E148" i="12"/>
  <c r="E155" i="12"/>
  <c r="C165" i="12"/>
  <c r="D165" i="12" s="1"/>
  <c r="E196" i="12"/>
  <c r="E101" i="12"/>
  <c r="E120" i="12"/>
  <c r="E131" i="12"/>
  <c r="C138" i="12"/>
  <c r="D138" i="12" s="1"/>
  <c r="E149" i="12"/>
  <c r="C170" i="12"/>
  <c r="D170" i="12" s="1"/>
  <c r="C30" i="12"/>
  <c r="D30" i="12" s="1"/>
  <c r="C32" i="12"/>
  <c r="D32" i="12" s="1"/>
  <c r="C36" i="12"/>
  <c r="D36" i="12" s="1"/>
  <c r="C44" i="12"/>
  <c r="D44" i="12" s="1"/>
  <c r="C201" i="12"/>
  <c r="D201" i="12" s="1"/>
  <c r="C17" i="12"/>
  <c r="D17" i="12" s="1"/>
  <c r="C29" i="12"/>
  <c r="D29" i="12" s="1"/>
  <c r="E31" i="12"/>
  <c r="E43" i="12"/>
  <c r="E58" i="12"/>
  <c r="E80" i="12"/>
  <c r="E89" i="12"/>
  <c r="E111" i="12"/>
  <c r="C118" i="12"/>
  <c r="D118" i="12" s="1"/>
  <c r="E140" i="12"/>
  <c r="E145" i="12"/>
  <c r="E153" i="12"/>
  <c r="C158" i="12"/>
  <c r="D158" i="12" s="1"/>
  <c r="E172" i="12"/>
  <c r="E188" i="12"/>
  <c r="E199" i="12"/>
  <c r="E200" i="12"/>
  <c r="C60" i="12"/>
  <c r="D60" i="12" s="1"/>
  <c r="C77" i="12"/>
  <c r="D77" i="12" s="1"/>
  <c r="C123" i="12"/>
  <c r="D123" i="12" s="1"/>
  <c r="C125" i="12"/>
  <c r="D125" i="12" s="1"/>
  <c r="E147" i="12"/>
  <c r="E151" i="12"/>
  <c r="C157" i="12"/>
  <c r="D157" i="12" s="1"/>
  <c r="E160" i="12"/>
  <c r="C174" i="12"/>
  <c r="D174" i="12" s="1"/>
  <c r="C185" i="12"/>
  <c r="D185" i="12" s="1"/>
  <c r="C192" i="12"/>
  <c r="D192" i="12" s="1"/>
  <c r="C193" i="12"/>
  <c r="D193" i="12" s="1"/>
  <c r="C198" i="12"/>
  <c r="D198" i="12" s="1"/>
  <c r="E2" i="12"/>
  <c r="E10" i="12"/>
  <c r="E26" i="12"/>
  <c r="E42" i="12"/>
  <c r="E56" i="12"/>
  <c r="E59" i="12"/>
  <c r="E72" i="12"/>
  <c r="E95" i="12"/>
  <c r="C107" i="12"/>
  <c r="D107" i="12" s="1"/>
  <c r="C122" i="12"/>
  <c r="D122" i="12" s="1"/>
  <c r="E124" i="12"/>
  <c r="C150" i="12"/>
  <c r="D150" i="12" s="1"/>
  <c r="C166" i="12"/>
  <c r="D166" i="12" s="1"/>
  <c r="C173" i="12"/>
  <c r="D173" i="12" s="1"/>
  <c r="C189" i="12"/>
  <c r="D189" i="12" s="1"/>
  <c r="E103" i="12"/>
  <c r="C103" i="12"/>
  <c r="D103" i="12" s="1"/>
  <c r="E135" i="12"/>
  <c r="C135" i="12"/>
  <c r="D135" i="12" s="1"/>
  <c r="E137" i="12"/>
  <c r="C137" i="12"/>
  <c r="D137" i="12" s="1"/>
  <c r="E184" i="12"/>
  <c r="C184" i="12"/>
  <c r="D184" i="12" s="1"/>
  <c r="E197" i="12"/>
  <c r="C197" i="12"/>
  <c r="D197" i="12" s="1"/>
  <c r="E66" i="12"/>
  <c r="C66" i="12"/>
  <c r="D66" i="12" s="1"/>
  <c r="E93" i="12"/>
  <c r="C93" i="12"/>
  <c r="D93" i="12" s="1"/>
  <c r="C100" i="12"/>
  <c r="D100" i="12" s="1"/>
  <c r="E100" i="12"/>
  <c r="C112" i="12"/>
  <c r="D112" i="12" s="1"/>
  <c r="E112" i="12"/>
  <c r="C132" i="12"/>
  <c r="D132" i="12" s="1"/>
  <c r="E132" i="12"/>
  <c r="E177" i="12"/>
  <c r="C177" i="12"/>
  <c r="D177" i="12" s="1"/>
  <c r="E105" i="12"/>
  <c r="C105" i="12"/>
  <c r="D105" i="12" s="1"/>
  <c r="E115" i="12"/>
  <c r="C115" i="12"/>
  <c r="D115" i="12" s="1"/>
  <c r="E18" i="12"/>
  <c r="C18" i="12"/>
  <c r="D18" i="12" s="1"/>
  <c r="E86" i="12"/>
  <c r="C86" i="12"/>
  <c r="D86" i="12" s="1"/>
  <c r="C88" i="12"/>
  <c r="D88" i="12" s="1"/>
  <c r="E88" i="12"/>
  <c r="E97" i="12"/>
  <c r="C97" i="12"/>
  <c r="D97" i="12" s="1"/>
  <c r="E102" i="12"/>
  <c r="C102" i="12"/>
  <c r="D102" i="12" s="1"/>
  <c r="C104" i="12"/>
  <c r="D104" i="12" s="1"/>
  <c r="E104" i="12"/>
  <c r="E109" i="12"/>
  <c r="C109" i="12"/>
  <c r="D109" i="12" s="1"/>
  <c r="E114" i="12"/>
  <c r="C114" i="12"/>
  <c r="D114" i="12" s="1"/>
  <c r="C116" i="12"/>
  <c r="D116" i="12" s="1"/>
  <c r="E116" i="12"/>
  <c r="E129" i="12"/>
  <c r="C129" i="12"/>
  <c r="D129" i="12" s="1"/>
  <c r="E134" i="12"/>
  <c r="C134" i="12"/>
  <c r="D134" i="12" s="1"/>
  <c r="C136" i="12"/>
  <c r="D136" i="12" s="1"/>
  <c r="E136" i="12"/>
  <c r="E154" i="12"/>
  <c r="C154" i="12"/>
  <c r="D154" i="12" s="1"/>
  <c r="C167" i="12"/>
  <c r="D167" i="12" s="1"/>
  <c r="E167" i="12"/>
  <c r="E190" i="12"/>
  <c r="C190" i="12"/>
  <c r="D190" i="12" s="1"/>
  <c r="E50" i="12"/>
  <c r="C50" i="12"/>
  <c r="D50" i="12" s="1"/>
  <c r="E85" i="12"/>
  <c r="C85" i="12"/>
  <c r="D85" i="12" s="1"/>
  <c r="E87" i="12"/>
  <c r="C87" i="12"/>
  <c r="D87" i="12" s="1"/>
  <c r="E117" i="12"/>
  <c r="C117" i="12"/>
  <c r="D117" i="12" s="1"/>
  <c r="E34" i="12"/>
  <c r="C34" i="12"/>
  <c r="D34" i="12" s="1"/>
  <c r="E75" i="12"/>
  <c r="C75" i="12"/>
  <c r="D75" i="12" s="1"/>
  <c r="E90" i="12"/>
  <c r="C90" i="12"/>
  <c r="D90" i="12" s="1"/>
  <c r="E156" i="12"/>
  <c r="C156" i="12"/>
  <c r="D156" i="12" s="1"/>
  <c r="E169" i="12"/>
  <c r="C169" i="12"/>
  <c r="D169" i="12" s="1"/>
  <c r="E176" i="12"/>
  <c r="C176" i="12"/>
  <c r="D176" i="12" s="1"/>
  <c r="E182" i="12"/>
  <c r="C182" i="12"/>
  <c r="D182" i="12" s="1"/>
  <c r="C195" i="12"/>
  <c r="D195" i="12" s="1"/>
  <c r="E195" i="12"/>
  <c r="C161" i="12"/>
  <c r="D161" i="12" s="1"/>
  <c r="E162" i="12"/>
  <c r="C162" i="12"/>
  <c r="D162" i="12" s="1"/>
  <c r="C175" i="12"/>
  <c r="D175" i="12" s="1"/>
  <c r="E175" i="12"/>
  <c r="C4" i="12"/>
  <c r="D4" i="12" s="1"/>
  <c r="E78" i="12"/>
  <c r="C78" i="12"/>
  <c r="D78" i="12" s="1"/>
  <c r="E127" i="12"/>
  <c r="C127" i="12"/>
  <c r="D127" i="12" s="1"/>
  <c r="E142" i="12"/>
  <c r="C142" i="12"/>
  <c r="D142" i="12" s="1"/>
  <c r="C144" i="12"/>
  <c r="D144" i="12" s="1"/>
  <c r="E144" i="12"/>
  <c r="C5" i="12"/>
  <c r="D5" i="12" s="1"/>
  <c r="C6" i="12"/>
  <c r="D6" i="12" s="1"/>
  <c r="E19" i="12"/>
  <c r="C21" i="12"/>
  <c r="D21" i="12" s="1"/>
  <c r="C22" i="12"/>
  <c r="D22" i="12" s="1"/>
  <c r="E35" i="12"/>
  <c r="C37" i="12"/>
  <c r="D37" i="12" s="1"/>
  <c r="C38" i="12"/>
  <c r="D38" i="12" s="1"/>
  <c r="E51" i="12"/>
  <c r="C53" i="12"/>
  <c r="D53" i="12" s="1"/>
  <c r="C54" i="12"/>
  <c r="D54" i="12" s="1"/>
  <c r="E67" i="12"/>
  <c r="C69" i="12"/>
  <c r="D69" i="12" s="1"/>
  <c r="C70" i="12"/>
  <c r="D70" i="12" s="1"/>
  <c r="C76" i="12"/>
  <c r="D76" i="12" s="1"/>
  <c r="E76" i="12"/>
  <c r="C82" i="12"/>
  <c r="D82" i="12" s="1"/>
  <c r="C83" i="12"/>
  <c r="D83" i="12" s="1"/>
  <c r="E94" i="12"/>
  <c r="C94" i="12"/>
  <c r="D94" i="12" s="1"/>
  <c r="E194" i="12"/>
  <c r="C194" i="12"/>
  <c r="D194" i="12" s="1"/>
  <c r="C108" i="12"/>
  <c r="D108" i="12" s="1"/>
  <c r="E108" i="12"/>
  <c r="C159" i="12"/>
  <c r="D159" i="12" s="1"/>
  <c r="E159" i="12"/>
  <c r="E7" i="12"/>
  <c r="C9" i="12"/>
  <c r="D9" i="12" s="1"/>
  <c r="E23" i="12"/>
  <c r="C25" i="12"/>
  <c r="D25" i="12" s="1"/>
  <c r="E39" i="12"/>
  <c r="C41" i="12"/>
  <c r="D41" i="12" s="1"/>
  <c r="E55" i="12"/>
  <c r="C57" i="12"/>
  <c r="D57" i="12" s="1"/>
  <c r="E71" i="12"/>
  <c r="C73" i="12"/>
  <c r="D73" i="12" s="1"/>
  <c r="C74" i="12"/>
  <c r="D74" i="12" s="1"/>
  <c r="E79" i="12"/>
  <c r="E84" i="12"/>
  <c r="C91" i="12"/>
  <c r="D91" i="12" s="1"/>
  <c r="C92" i="12"/>
  <c r="D92" i="12" s="1"/>
  <c r="E92" i="12"/>
  <c r="E96" i="12"/>
  <c r="C98" i="12"/>
  <c r="D98" i="12" s="1"/>
  <c r="E110" i="12"/>
  <c r="C110" i="12"/>
  <c r="D110" i="12" s="1"/>
  <c r="E126" i="12"/>
  <c r="C126" i="12"/>
  <c r="D126" i="12" s="1"/>
  <c r="C128" i="12"/>
  <c r="D128" i="12" s="1"/>
  <c r="E128" i="12"/>
  <c r="E143" i="12"/>
  <c r="C143" i="12"/>
  <c r="D143" i="12" s="1"/>
  <c r="E178" i="12"/>
  <c r="C178" i="12"/>
  <c r="D178" i="12" s="1"/>
  <c r="C191" i="12"/>
  <c r="D191" i="12" s="1"/>
  <c r="E191" i="12"/>
  <c r="C130" i="12"/>
  <c r="D130" i="12" s="1"/>
  <c r="C146" i="12"/>
  <c r="D146" i="12" s="1"/>
  <c r="E189" i="6"/>
  <c r="E173" i="6"/>
  <c r="E157" i="6"/>
  <c r="E141" i="6"/>
  <c r="E125" i="6"/>
  <c r="E109" i="6"/>
  <c r="E93" i="6"/>
  <c r="E77" i="6"/>
  <c r="E61" i="6"/>
  <c r="E45" i="6"/>
  <c r="E29" i="6"/>
  <c r="E13" i="6"/>
  <c r="E201" i="6"/>
  <c r="E185" i="6"/>
  <c r="E169" i="6"/>
  <c r="E153" i="6"/>
  <c r="E137" i="6"/>
  <c r="E121" i="6"/>
  <c r="E105" i="6"/>
  <c r="E89" i="6"/>
  <c r="E73" i="6"/>
  <c r="E57" i="6"/>
  <c r="E41" i="6"/>
  <c r="E25" i="6"/>
  <c r="E9" i="6"/>
  <c r="E197" i="6"/>
  <c r="E181" i="6"/>
  <c r="E165" i="6"/>
  <c r="E149" i="6"/>
  <c r="E133" i="6"/>
  <c r="E117" i="6"/>
  <c r="E101" i="6"/>
  <c r="E85" i="6"/>
  <c r="E69" i="6"/>
  <c r="E53" i="6"/>
  <c r="E37" i="6"/>
  <c r="E21" i="6"/>
  <c r="E5" i="6"/>
  <c r="E200" i="6"/>
  <c r="E196" i="6"/>
  <c r="E192" i="6"/>
  <c r="E188" i="6"/>
  <c r="E184" i="6"/>
  <c r="E180" i="6"/>
  <c r="E176" i="6"/>
  <c r="E172" i="6"/>
  <c r="E168" i="6"/>
  <c r="E164" i="6"/>
  <c r="E160" i="6"/>
  <c r="E156" i="6"/>
  <c r="E152" i="6"/>
  <c r="E148" i="6"/>
  <c r="E144" i="6"/>
  <c r="E140" i="6"/>
  <c r="E136" i="6"/>
  <c r="E132" i="6"/>
  <c r="E128" i="6"/>
  <c r="E124" i="6"/>
  <c r="E120" i="6"/>
  <c r="E116" i="6"/>
  <c r="E112" i="6"/>
  <c r="E108" i="6"/>
  <c r="E104" i="6"/>
  <c r="E100" i="6"/>
  <c r="E96" i="6"/>
  <c r="E92" i="6"/>
  <c r="E88" i="6"/>
  <c r="E84" i="6"/>
  <c r="E80" i="6"/>
  <c r="E76" i="6"/>
  <c r="E72" i="6"/>
  <c r="E68" i="6"/>
  <c r="E64" i="6"/>
  <c r="E60" i="6"/>
  <c r="E56" i="6"/>
  <c r="E52" i="6"/>
  <c r="E48" i="6"/>
  <c r="E44" i="6"/>
  <c r="E40" i="6"/>
  <c r="E36" i="6"/>
  <c r="E32" i="6"/>
  <c r="E28" i="6"/>
  <c r="E24" i="6"/>
  <c r="E20" i="6"/>
  <c r="E16" i="6"/>
  <c r="E12" i="6"/>
  <c r="E8" i="6"/>
  <c r="E4" i="6"/>
  <c r="E199" i="6"/>
  <c r="E195" i="6"/>
  <c r="E191" i="6"/>
  <c r="E187" i="6"/>
  <c r="E183" i="6"/>
  <c r="E179" i="6"/>
  <c r="E175" i="6"/>
  <c r="E171" i="6"/>
  <c r="E167" i="6"/>
  <c r="E163" i="6"/>
  <c r="E159" i="6"/>
  <c r="E155" i="6"/>
  <c r="E151" i="6"/>
  <c r="E147" i="6"/>
  <c r="E143" i="6"/>
  <c r="E139" i="6"/>
  <c r="E135" i="6"/>
  <c r="E131" i="6"/>
  <c r="E127" i="6"/>
  <c r="E123" i="6"/>
  <c r="E119" i="6"/>
  <c r="E115" i="6"/>
  <c r="E111" i="6"/>
  <c r="E107" i="6"/>
  <c r="E103" i="6"/>
  <c r="E99" i="6"/>
  <c r="E95" i="6"/>
  <c r="E91" i="6"/>
  <c r="E87" i="6"/>
  <c r="E83" i="6"/>
  <c r="E79" i="6"/>
  <c r="E75" i="6"/>
  <c r="E71" i="6"/>
  <c r="E67" i="6"/>
  <c r="E63" i="6"/>
  <c r="E59" i="6"/>
  <c r="E55" i="6"/>
  <c r="E51" i="6"/>
  <c r="E47" i="6"/>
  <c r="E43" i="6"/>
  <c r="E39" i="6"/>
  <c r="E35" i="6"/>
  <c r="E31" i="6"/>
  <c r="E27" i="6"/>
  <c r="E23" i="6"/>
  <c r="E19" i="6"/>
  <c r="E15" i="6"/>
  <c r="E11" i="6"/>
  <c r="E7" i="6"/>
  <c r="E3" i="6"/>
  <c r="E198" i="6"/>
  <c r="E194" i="6"/>
  <c r="E190" i="6"/>
  <c r="E186" i="6"/>
  <c r="E182" i="6"/>
  <c r="E178" i="6"/>
  <c r="E174" i="6"/>
  <c r="E170" i="6"/>
  <c r="E166" i="6"/>
  <c r="E162" i="6"/>
  <c r="E158" i="6"/>
  <c r="E154" i="6"/>
  <c r="E150" i="6"/>
  <c r="E146" i="6"/>
  <c r="E142" i="6"/>
  <c r="E138" i="6"/>
  <c r="E134" i="6"/>
  <c r="E130" i="6"/>
  <c r="E126" i="6"/>
  <c r="E122" i="6"/>
  <c r="E118" i="6"/>
  <c r="E114" i="6"/>
  <c r="E110" i="6"/>
  <c r="E106" i="6"/>
  <c r="E102" i="6"/>
  <c r="E98" i="6"/>
  <c r="E94" i="6"/>
  <c r="E90" i="6"/>
  <c r="E86" i="6"/>
  <c r="E82" i="6"/>
  <c r="E78" i="6"/>
  <c r="E74" i="6"/>
  <c r="E70" i="6"/>
  <c r="E66" i="6"/>
  <c r="E62" i="6"/>
  <c r="E58" i="6"/>
  <c r="E54" i="6"/>
  <c r="E50" i="6"/>
  <c r="E46" i="6"/>
  <c r="E42" i="6"/>
  <c r="E38" i="6"/>
  <c r="E34" i="6"/>
  <c r="E30" i="6"/>
  <c r="E26" i="6"/>
  <c r="E22" i="6"/>
  <c r="E18" i="6"/>
  <c r="E14" i="6"/>
  <c r="E10" i="6"/>
  <c r="E6" i="6"/>
  <c r="E2" i="6"/>
  <c r="A29" i="10"/>
  <c r="A23" i="10"/>
  <c r="D201" i="6"/>
  <c r="D197" i="6"/>
  <c r="D193" i="6"/>
  <c r="D189" i="6"/>
  <c r="D185" i="6"/>
  <c r="D181" i="6"/>
  <c r="D177" i="6"/>
  <c r="D173" i="6"/>
  <c r="D169" i="6"/>
  <c r="D165" i="6"/>
  <c r="D161" i="6"/>
  <c r="D157" i="6"/>
  <c r="D153" i="6"/>
  <c r="D149" i="6"/>
  <c r="D145" i="6"/>
  <c r="D141" i="6"/>
  <c r="D137" i="6"/>
  <c r="D133" i="6"/>
  <c r="D129" i="6"/>
  <c r="D125" i="6"/>
  <c r="D121" i="6"/>
  <c r="D117" i="6"/>
  <c r="D113" i="6"/>
  <c r="D109" i="6"/>
  <c r="D105" i="6"/>
  <c r="D101" i="6"/>
  <c r="D97" i="6"/>
  <c r="D93" i="6"/>
  <c r="D89" i="6"/>
  <c r="D85" i="6"/>
  <c r="D81" i="6"/>
  <c r="D77" i="6"/>
  <c r="D73" i="6"/>
  <c r="D69" i="6"/>
  <c r="D65" i="6"/>
  <c r="D61" i="6"/>
  <c r="D57" i="6"/>
  <c r="D53" i="6"/>
  <c r="D49" i="6"/>
  <c r="D45" i="6"/>
  <c r="D41" i="6"/>
  <c r="D37" i="6"/>
  <c r="D33" i="6"/>
  <c r="D29" i="6"/>
  <c r="D25" i="6"/>
  <c r="D21" i="6"/>
  <c r="D17" i="6"/>
  <c r="D13" i="6"/>
  <c r="D9" i="6"/>
  <c r="D5" i="6"/>
  <c r="D171" i="6"/>
  <c r="D175" i="6"/>
  <c r="D179" i="6"/>
  <c r="D183" i="6"/>
  <c r="D187" i="6"/>
  <c r="D191" i="6"/>
  <c r="D195" i="6"/>
  <c r="D199" i="6"/>
  <c r="D3" i="6"/>
  <c r="D7" i="6"/>
  <c r="D11" i="6"/>
  <c r="D15" i="6"/>
  <c r="D19" i="6"/>
  <c r="D23" i="6"/>
  <c r="D27" i="6"/>
  <c r="D31" i="6"/>
  <c r="D35" i="6"/>
  <c r="D39" i="6"/>
  <c r="T49" i="12" l="1"/>
  <c r="AA21" i="12"/>
  <c r="AA17" i="12"/>
  <c r="AA18" i="12"/>
  <c r="AA20" i="12"/>
  <c r="AA19" i="12"/>
  <c r="U3" i="12"/>
  <c r="K96" i="12" a="1"/>
  <c r="K96" i="12" s="1"/>
  <c r="H96" i="12" a="1"/>
  <c r="H96" i="12" s="1"/>
  <c r="K39" i="12" a="1"/>
  <c r="K39" i="12" s="1"/>
  <c r="H39" i="12" a="1"/>
  <c r="H39" i="12" s="1"/>
  <c r="K94" i="12" a="1"/>
  <c r="K94" i="12" s="1"/>
  <c r="H94" i="12" a="1"/>
  <c r="H94" i="12" s="1"/>
  <c r="K127" i="12" a="1"/>
  <c r="K127" i="12" s="1"/>
  <c r="H127" i="12" a="1"/>
  <c r="H127" i="12" s="1"/>
  <c r="K169" i="12" a="1"/>
  <c r="K169" i="12" s="1"/>
  <c r="H169" i="12" a="1"/>
  <c r="H169" i="12" s="1"/>
  <c r="K87" i="12" a="1"/>
  <c r="K87" i="12" s="1"/>
  <c r="H87" i="12" a="1"/>
  <c r="H87" i="12" s="1"/>
  <c r="H115" i="12" a="1"/>
  <c r="H115" i="12" s="1"/>
  <c r="K115" i="12" a="1"/>
  <c r="K115" i="12" s="1"/>
  <c r="K93" i="12" a="1"/>
  <c r="K93" i="12" s="1"/>
  <c r="H93" i="12" a="1"/>
  <c r="H93" i="12" s="1"/>
  <c r="K103" i="12" a="1"/>
  <c r="K103" i="12" s="1"/>
  <c r="H103" i="12" a="1"/>
  <c r="H103" i="12" s="1"/>
  <c r="K42" i="12" a="1"/>
  <c r="K42" i="12" s="1"/>
  <c r="H42" i="12" a="1"/>
  <c r="H42" i="12" s="1"/>
  <c r="K140" i="12" a="1"/>
  <c r="K140" i="12" s="1"/>
  <c r="H140" i="12" a="1"/>
  <c r="H140" i="12" s="1"/>
  <c r="K149" i="12" a="1"/>
  <c r="K149" i="12" s="1"/>
  <c r="H149" i="12" a="1"/>
  <c r="H149" i="12" s="1"/>
  <c r="K24" i="12" a="1"/>
  <c r="K24" i="12" s="1"/>
  <c r="H24" i="12" a="1"/>
  <c r="H24" i="12" s="1"/>
  <c r="K48" i="12" a="1"/>
  <c r="K48" i="12" s="1"/>
  <c r="H48" i="12" a="1"/>
  <c r="H48" i="12" s="1"/>
  <c r="K35" i="12" a="1"/>
  <c r="K35" i="12" s="1"/>
  <c r="H35" i="12" a="1"/>
  <c r="H35" i="12" s="1"/>
  <c r="K195" i="12" a="1"/>
  <c r="K195" i="12" s="1"/>
  <c r="H195" i="12" a="1"/>
  <c r="H195" i="12" s="1"/>
  <c r="K116" i="12" a="1"/>
  <c r="K116" i="12" s="1"/>
  <c r="H116" i="12" a="1"/>
  <c r="H116" i="12" s="1"/>
  <c r="K88" i="12" a="1"/>
  <c r="K88" i="12" s="1"/>
  <c r="H88" i="12" a="1"/>
  <c r="H88" i="12" s="1"/>
  <c r="K132" i="12" a="1"/>
  <c r="K132" i="12" s="1"/>
  <c r="H132" i="12" a="1"/>
  <c r="H132" i="12" s="1"/>
  <c r="K100" i="12" a="1"/>
  <c r="K100" i="12" s="1"/>
  <c r="H100" i="12" a="1"/>
  <c r="H100" i="12" s="1"/>
  <c r="H124" i="12" a="1"/>
  <c r="H124" i="12" s="1"/>
  <c r="K124" i="12" a="1"/>
  <c r="K124" i="12" s="1"/>
  <c r="K72" i="12" a="1"/>
  <c r="K72" i="12" s="1"/>
  <c r="H72" i="12" a="1"/>
  <c r="H72" i="12" s="1"/>
  <c r="K26" i="12" a="1"/>
  <c r="K26" i="12" s="1"/>
  <c r="H26" i="12" a="1"/>
  <c r="H26" i="12" s="1"/>
  <c r="K160" i="12" a="1"/>
  <c r="K160" i="12" s="1"/>
  <c r="H160" i="12" a="1"/>
  <c r="H160" i="12" s="1"/>
  <c r="K200" i="12" a="1"/>
  <c r="K200" i="12" s="1"/>
  <c r="H200" i="12" a="1"/>
  <c r="H200" i="12" s="1"/>
  <c r="K58" i="12" a="1"/>
  <c r="K58" i="12" s="1"/>
  <c r="H58" i="12" a="1"/>
  <c r="H58" i="12" s="1"/>
  <c r="K196" i="12" a="1"/>
  <c r="K196" i="12" s="1"/>
  <c r="H196" i="12" a="1"/>
  <c r="H196" i="12" s="1"/>
  <c r="K139" i="12" a="1"/>
  <c r="K139" i="12" s="1"/>
  <c r="H139" i="12" a="1"/>
  <c r="H139" i="12" s="1"/>
  <c r="K168" i="12" a="1"/>
  <c r="K168" i="12" s="1"/>
  <c r="H168" i="12" a="1"/>
  <c r="H168" i="12" s="1"/>
  <c r="K171" i="12" a="1"/>
  <c r="K171" i="12" s="1"/>
  <c r="H171" i="12" a="1"/>
  <c r="H171" i="12" s="1"/>
  <c r="K15" i="12" a="1"/>
  <c r="K15" i="12" s="1"/>
  <c r="H15" i="12" a="1"/>
  <c r="H15" i="12" s="1"/>
  <c r="K119" i="12" a="1"/>
  <c r="K119" i="12" s="1"/>
  <c r="H119" i="12" a="1"/>
  <c r="H119" i="12" s="1"/>
  <c r="K20" i="12" a="1"/>
  <c r="K20" i="12" s="1"/>
  <c r="H20" i="12" a="1"/>
  <c r="H20" i="12" s="1"/>
  <c r="K187" i="12" a="1"/>
  <c r="K187" i="12" s="1"/>
  <c r="H187" i="12" a="1"/>
  <c r="H187" i="12" s="1"/>
  <c r="K14" i="12" a="1"/>
  <c r="K14" i="12" s="1"/>
  <c r="H14" i="12" a="1"/>
  <c r="H14" i="12" s="1"/>
  <c r="K126" i="12" a="1"/>
  <c r="K126" i="12" s="1"/>
  <c r="H126" i="12" a="1"/>
  <c r="H126" i="12" s="1"/>
  <c r="K84" i="12" a="1"/>
  <c r="K84" i="12" s="1"/>
  <c r="H84" i="12" a="1"/>
  <c r="H84" i="12" s="1"/>
  <c r="K7" i="12" a="1"/>
  <c r="K7" i="12" s="1"/>
  <c r="H7" i="12" a="1"/>
  <c r="H7" i="12" s="1"/>
  <c r="K19" i="12" a="1"/>
  <c r="K19" i="12" s="1"/>
  <c r="H19" i="12" a="1"/>
  <c r="H19" i="12" s="1"/>
  <c r="K175" i="12" a="1"/>
  <c r="K175" i="12" s="1"/>
  <c r="H175" i="12" a="1"/>
  <c r="H175" i="12" s="1"/>
  <c r="K182" i="12" a="1"/>
  <c r="K182" i="12" s="1"/>
  <c r="H182" i="12" a="1"/>
  <c r="H182" i="12" s="1"/>
  <c r="H34" i="12" a="1"/>
  <c r="H34" i="12" s="1"/>
  <c r="K34" i="12" a="1"/>
  <c r="K34" i="12" s="1"/>
  <c r="K114" i="12" a="1"/>
  <c r="K114" i="12" s="1"/>
  <c r="H114" i="12" a="1"/>
  <c r="H114" i="12" s="1"/>
  <c r="K86" i="12" a="1"/>
  <c r="K86" i="12" s="1"/>
  <c r="H86" i="12" a="1"/>
  <c r="H86" i="12" s="1"/>
  <c r="K137" i="12" a="1"/>
  <c r="K137" i="12" s="1"/>
  <c r="H137" i="12" a="1"/>
  <c r="H137" i="12" s="1"/>
  <c r="K95" i="12" a="1"/>
  <c r="K95" i="12" s="1"/>
  <c r="H95" i="12" a="1"/>
  <c r="H95" i="12" s="1"/>
  <c r="K172" i="12" a="1"/>
  <c r="K172" i="12" s="1"/>
  <c r="H172" i="12" a="1"/>
  <c r="H172" i="12" s="1"/>
  <c r="K80" i="12" a="1"/>
  <c r="K80" i="12" s="1"/>
  <c r="H80" i="12" a="1"/>
  <c r="H80" i="12" s="1"/>
  <c r="K179" i="12" a="1"/>
  <c r="K179" i="12" s="1"/>
  <c r="H179" i="12" a="1"/>
  <c r="H179" i="12" s="1"/>
  <c r="H63" i="12" a="1"/>
  <c r="H63" i="12" s="1"/>
  <c r="K63" i="12" a="1"/>
  <c r="K63" i="12" s="1"/>
  <c r="H152" i="12" a="1"/>
  <c r="H152" i="12" s="1"/>
  <c r="K152" i="12" a="1"/>
  <c r="K152" i="12" s="1"/>
  <c r="H141" i="12" a="1"/>
  <c r="H141" i="12" s="1"/>
  <c r="K141" i="12" a="1"/>
  <c r="K141" i="12" s="1"/>
  <c r="K128" i="12" a="1"/>
  <c r="K128" i="12" s="1"/>
  <c r="H128" i="12" a="1"/>
  <c r="H128" i="12" s="1"/>
  <c r="K92" i="12" a="1"/>
  <c r="K92" i="12" s="1"/>
  <c r="H92" i="12" a="1"/>
  <c r="H92" i="12" s="1"/>
  <c r="K159" i="12" a="1"/>
  <c r="K159" i="12" s="1"/>
  <c r="H159" i="12" a="1"/>
  <c r="H159" i="12" s="1"/>
  <c r="K178" i="12" a="1"/>
  <c r="K178" i="12" s="1"/>
  <c r="H178" i="12" a="1"/>
  <c r="H178" i="12" s="1"/>
  <c r="K110" i="12" a="1"/>
  <c r="K110" i="12" s="1"/>
  <c r="H110" i="12" a="1"/>
  <c r="H110" i="12" s="1"/>
  <c r="K55" i="12" a="1"/>
  <c r="K55" i="12" s="1"/>
  <c r="H55" i="12" a="1"/>
  <c r="H55" i="12" s="1"/>
  <c r="K23" i="12" a="1"/>
  <c r="K23" i="12" s="1"/>
  <c r="H23" i="12" a="1"/>
  <c r="H23" i="12" s="1"/>
  <c r="K194" i="12" a="1"/>
  <c r="K194" i="12" s="1"/>
  <c r="H194" i="12" a="1"/>
  <c r="H194" i="12" s="1"/>
  <c r="K51" i="12" a="1"/>
  <c r="K51" i="12" s="1"/>
  <c r="H51" i="12" a="1"/>
  <c r="H51" i="12" s="1"/>
  <c r="K142" i="12" a="1"/>
  <c r="K142" i="12" s="1"/>
  <c r="H142" i="12" a="1"/>
  <c r="H142" i="12" s="1"/>
  <c r="K78" i="12" a="1"/>
  <c r="K78" i="12" s="1"/>
  <c r="H78" i="12" a="1"/>
  <c r="H78" i="12" s="1"/>
  <c r="K176" i="12" a="1"/>
  <c r="K176" i="12" s="1"/>
  <c r="H176" i="12" a="1"/>
  <c r="H176" i="12" s="1"/>
  <c r="K156" i="12" a="1"/>
  <c r="K156" i="12" s="1"/>
  <c r="H156" i="12" a="1"/>
  <c r="H156" i="12" s="1"/>
  <c r="K75" i="12" a="1"/>
  <c r="K75" i="12" s="1"/>
  <c r="H75" i="12" a="1"/>
  <c r="H75" i="12" s="1"/>
  <c r="K117" i="12" a="1"/>
  <c r="K117" i="12" s="1"/>
  <c r="H117" i="12" a="1"/>
  <c r="H117" i="12" s="1"/>
  <c r="K85" i="12" a="1"/>
  <c r="K85" i="12" s="1"/>
  <c r="H85" i="12" a="1"/>
  <c r="H85" i="12" s="1"/>
  <c r="K190" i="12" a="1"/>
  <c r="K190" i="12" s="1"/>
  <c r="H190" i="12" a="1"/>
  <c r="H190" i="12" s="1"/>
  <c r="K154" i="12" a="1"/>
  <c r="K154" i="12" s="1"/>
  <c r="H154" i="12" a="1"/>
  <c r="H154" i="12" s="1"/>
  <c r="K134" i="12" a="1"/>
  <c r="K134" i="12" s="1"/>
  <c r="H134" i="12" a="1"/>
  <c r="H134" i="12" s="1"/>
  <c r="K109" i="12" a="1"/>
  <c r="K109" i="12" s="1"/>
  <c r="H109" i="12" a="1"/>
  <c r="H109" i="12" s="1"/>
  <c r="K102" i="12" a="1"/>
  <c r="K102" i="12" s="1"/>
  <c r="H102" i="12" a="1"/>
  <c r="H102" i="12" s="1"/>
  <c r="H18" i="12" a="1"/>
  <c r="H18" i="12" s="1"/>
  <c r="K18" i="12" a="1"/>
  <c r="K18" i="12" s="1"/>
  <c r="K105" i="12" a="1"/>
  <c r="K105" i="12" s="1"/>
  <c r="H105" i="12" a="1"/>
  <c r="H105" i="12" s="1"/>
  <c r="K66" i="12" a="1"/>
  <c r="K66" i="12" s="1"/>
  <c r="H66" i="12" a="1"/>
  <c r="H66" i="12" s="1"/>
  <c r="K184" i="12" a="1"/>
  <c r="K184" i="12" s="1"/>
  <c r="H184" i="12" a="1"/>
  <c r="H184" i="12" s="1"/>
  <c r="K135" i="12" a="1"/>
  <c r="K135" i="12" s="1"/>
  <c r="H135" i="12" a="1"/>
  <c r="H135" i="12" s="1"/>
  <c r="K59" i="12" a="1"/>
  <c r="K59" i="12" s="1"/>
  <c r="H59" i="12" a="1"/>
  <c r="H59" i="12" s="1"/>
  <c r="H10" i="12" a="1"/>
  <c r="H10" i="12" s="1"/>
  <c r="K10" i="12" a="1"/>
  <c r="K10" i="12" s="1"/>
  <c r="K199" i="12" a="1"/>
  <c r="K199" i="12" s="1"/>
  <c r="H199" i="12" a="1"/>
  <c r="H199" i="12" s="1"/>
  <c r="K153" i="12" a="1"/>
  <c r="K153" i="12" s="1"/>
  <c r="H153" i="12" a="1"/>
  <c r="H153" i="12" s="1"/>
  <c r="K111" i="12" a="1"/>
  <c r="K111" i="12" s="1"/>
  <c r="H111" i="12" a="1"/>
  <c r="H111" i="12" s="1"/>
  <c r="K43" i="12" a="1"/>
  <c r="K43" i="12" s="1"/>
  <c r="H43" i="12" a="1"/>
  <c r="H43" i="12" s="1"/>
  <c r="K131" i="12" a="1"/>
  <c r="K131" i="12" s="1"/>
  <c r="H131" i="12" a="1"/>
  <c r="H131" i="12" s="1"/>
  <c r="K113" i="12" a="1"/>
  <c r="K113" i="12" s="1"/>
  <c r="H113" i="12" a="1"/>
  <c r="H113" i="12" s="1"/>
  <c r="K183" i="12" a="1"/>
  <c r="K183" i="12" s="1"/>
  <c r="H183" i="12" a="1"/>
  <c r="H183" i="12" s="1"/>
  <c r="K133" i="12" a="1"/>
  <c r="K133" i="12" s="1"/>
  <c r="H133" i="12" a="1"/>
  <c r="H133" i="12" s="1"/>
  <c r="K121" i="12" a="1"/>
  <c r="K121" i="12" s="1"/>
  <c r="H121" i="12" a="1"/>
  <c r="H121" i="12" s="1"/>
  <c r="H8" i="12" a="1"/>
  <c r="H8" i="12" s="1"/>
  <c r="K8" i="12" a="1"/>
  <c r="K8" i="12" s="1"/>
  <c r="K163" i="12" a="1"/>
  <c r="K163" i="12" s="1"/>
  <c r="H163" i="12" a="1"/>
  <c r="H163" i="12" s="1"/>
  <c r="K27" i="12" a="1"/>
  <c r="K27" i="12" s="1"/>
  <c r="H27" i="12" a="1"/>
  <c r="H27" i="12" s="1"/>
  <c r="H47" i="12" a="1"/>
  <c r="H47" i="12" s="1"/>
  <c r="K47" i="12" a="1"/>
  <c r="K47" i="12" s="1"/>
  <c r="K143" i="12" a="1"/>
  <c r="K143" i="12" s="1"/>
  <c r="H143" i="12" a="1"/>
  <c r="H143" i="12" s="1"/>
  <c r="K71" i="12" a="1"/>
  <c r="K71" i="12" s="1"/>
  <c r="H71" i="12" a="1"/>
  <c r="H71" i="12" s="1"/>
  <c r="K90" i="12" a="1"/>
  <c r="K90" i="12" s="1"/>
  <c r="H90" i="12" a="1"/>
  <c r="H90" i="12" s="1"/>
  <c r="H50" i="12" a="1"/>
  <c r="H50" i="12" s="1"/>
  <c r="K50" i="12" a="1"/>
  <c r="K50" i="12" s="1"/>
  <c r="K129" i="12" a="1"/>
  <c r="K129" i="12" s="1"/>
  <c r="H129" i="12" a="1"/>
  <c r="H129" i="12" s="1"/>
  <c r="K97" i="12" a="1"/>
  <c r="K97" i="12" s="1"/>
  <c r="H97" i="12" a="1"/>
  <c r="H97" i="12" s="1"/>
  <c r="K177" i="12" a="1"/>
  <c r="K177" i="12" s="1"/>
  <c r="H177" i="12" a="1"/>
  <c r="H177" i="12" s="1"/>
  <c r="K197" i="12" a="1"/>
  <c r="K197" i="12" s="1"/>
  <c r="H197" i="12" a="1"/>
  <c r="H197" i="12" s="1"/>
  <c r="K147" i="12" a="1"/>
  <c r="K147" i="12" s="1"/>
  <c r="H147" i="12" a="1"/>
  <c r="H147" i="12" s="1"/>
  <c r="K101" i="12" a="1"/>
  <c r="K101" i="12" s="1"/>
  <c r="H101" i="12" a="1"/>
  <c r="H101" i="12" s="1"/>
  <c r="K148" i="12" a="1"/>
  <c r="K148" i="12" s="1"/>
  <c r="H148" i="12" a="1"/>
  <c r="H148" i="12" s="1"/>
  <c r="K28" i="12" a="1"/>
  <c r="K28" i="12" s="1"/>
  <c r="H28" i="12" a="1"/>
  <c r="H28" i="12" s="1"/>
  <c r="K79" i="12" a="1"/>
  <c r="K79" i="12" s="1"/>
  <c r="H79" i="12" a="1"/>
  <c r="H79" i="12" s="1"/>
  <c r="K191" i="12" a="1"/>
  <c r="K191" i="12" s="1"/>
  <c r="H191" i="12" a="1"/>
  <c r="H191" i="12" s="1"/>
  <c r="K108" i="12" a="1"/>
  <c r="K108" i="12" s="1"/>
  <c r="H108" i="12" a="1"/>
  <c r="H108" i="12" s="1"/>
  <c r="K76" i="12" a="1"/>
  <c r="K76" i="12" s="1"/>
  <c r="H76" i="12" a="1"/>
  <c r="H76" i="12" s="1"/>
  <c r="K67" i="12" a="1"/>
  <c r="K67" i="12" s="1"/>
  <c r="H67" i="12" a="1"/>
  <c r="H67" i="12" s="1"/>
  <c r="K144" i="12" a="1"/>
  <c r="K144" i="12" s="1"/>
  <c r="H144" i="12" a="1"/>
  <c r="H144" i="12" s="1"/>
  <c r="K162" i="12" a="1"/>
  <c r="K162" i="12" s="1"/>
  <c r="H162" i="12" a="1"/>
  <c r="H162" i="12" s="1"/>
  <c r="K167" i="12" a="1"/>
  <c r="K167" i="12" s="1"/>
  <c r="H167" i="12" a="1"/>
  <c r="H167" i="12" s="1"/>
  <c r="K136" i="12" a="1"/>
  <c r="K136" i="12" s="1"/>
  <c r="H136" i="12" a="1"/>
  <c r="H136" i="12" s="1"/>
  <c r="K104" i="12" a="1"/>
  <c r="K104" i="12" s="1"/>
  <c r="H104" i="12" a="1"/>
  <c r="H104" i="12" s="1"/>
  <c r="K112" i="12" a="1"/>
  <c r="K112" i="12" s="1"/>
  <c r="H112" i="12" a="1"/>
  <c r="H112" i="12" s="1"/>
  <c r="K56" i="12" a="1"/>
  <c r="K56" i="12" s="1"/>
  <c r="H56" i="12" a="1"/>
  <c r="H56" i="12" s="1"/>
  <c r="H2" i="12" a="1"/>
  <c r="H2" i="12" s="1"/>
  <c r="K2" i="12" a="1"/>
  <c r="K2" i="12" s="1"/>
  <c r="K151" i="12" a="1"/>
  <c r="K151" i="12" s="1"/>
  <c r="H151" i="12" a="1"/>
  <c r="H151" i="12" s="1"/>
  <c r="K188" i="12" a="1"/>
  <c r="K188" i="12" s="1"/>
  <c r="H188" i="12" a="1"/>
  <c r="H188" i="12" s="1"/>
  <c r="K145" i="12" a="1"/>
  <c r="K145" i="12" s="1"/>
  <c r="H145" i="12" a="1"/>
  <c r="H145" i="12" s="1"/>
  <c r="K89" i="12" a="1"/>
  <c r="K89" i="12" s="1"/>
  <c r="H89" i="12" a="1"/>
  <c r="H89" i="12" s="1"/>
  <c r="H31" i="12" a="1"/>
  <c r="H31" i="12" s="1"/>
  <c r="K31" i="12" a="1"/>
  <c r="K31" i="12" s="1"/>
  <c r="K120" i="12" a="1"/>
  <c r="K120" i="12" s="1"/>
  <c r="H120" i="12" a="1"/>
  <c r="H120" i="12" s="1"/>
  <c r="H155" i="12" a="1"/>
  <c r="H155" i="12" s="1"/>
  <c r="K155" i="12" a="1"/>
  <c r="K155" i="12" s="1"/>
  <c r="K40" i="12" a="1"/>
  <c r="K40" i="12" s="1"/>
  <c r="H40" i="12" a="1"/>
  <c r="H40" i="12" s="1"/>
  <c r="K180" i="12" a="1"/>
  <c r="K180" i="12" s="1"/>
  <c r="H180" i="12" a="1"/>
  <c r="H180" i="12" s="1"/>
  <c r="K99" i="12" a="1"/>
  <c r="K99" i="12" s="1"/>
  <c r="H99" i="12" a="1"/>
  <c r="H99" i="12" s="1"/>
  <c r="K46" i="12" a="1"/>
  <c r="K46" i="12" s="1"/>
  <c r="H46" i="12" a="1"/>
  <c r="H46" i="12" s="1"/>
  <c r="K81" i="12" a="1"/>
  <c r="K81" i="12" s="1"/>
  <c r="H81" i="12" a="1"/>
  <c r="H81" i="12" s="1"/>
  <c r="H11" i="12" a="1"/>
  <c r="H11" i="12" s="1"/>
  <c r="K11" i="12" a="1"/>
  <c r="K11" i="12" s="1"/>
  <c r="K16" i="12" a="1"/>
  <c r="K16" i="12" s="1"/>
  <c r="H16" i="12" a="1"/>
  <c r="H16" i="12" s="1"/>
  <c r="J143" i="12" a="1"/>
  <c r="J143" i="12" s="1"/>
  <c r="I143" i="12" a="1"/>
  <c r="I143" i="12" s="1"/>
  <c r="G143" i="12" a="1"/>
  <c r="G143" i="12" s="1"/>
  <c r="F143" i="12" a="1"/>
  <c r="F143" i="12" s="1"/>
  <c r="I84" i="12" a="1"/>
  <c r="I84" i="12" s="1"/>
  <c r="J84" i="12" a="1"/>
  <c r="J84" i="12" s="1"/>
  <c r="F84" i="12" a="1"/>
  <c r="F84" i="12" s="1"/>
  <c r="G84" i="12" a="1"/>
  <c r="G84" i="12" s="1"/>
  <c r="I7" i="12" a="1"/>
  <c r="I7" i="12" s="1"/>
  <c r="G7" i="12" a="1"/>
  <c r="G7" i="12" s="1"/>
  <c r="J7" i="12" a="1"/>
  <c r="J7" i="12" s="1"/>
  <c r="F7" i="12" a="1"/>
  <c r="F7" i="12" s="1"/>
  <c r="J19" i="12" a="1"/>
  <c r="J19" i="12" s="1"/>
  <c r="G19" i="12" a="1"/>
  <c r="G19" i="12" s="1"/>
  <c r="F19" i="12" a="1"/>
  <c r="F19" i="12" s="1"/>
  <c r="I19" i="12" a="1"/>
  <c r="I19" i="12" s="1"/>
  <c r="J175" i="12" a="1"/>
  <c r="J175" i="12" s="1"/>
  <c r="I175" i="12" a="1"/>
  <c r="I175" i="12" s="1"/>
  <c r="G175" i="12" a="1"/>
  <c r="G175" i="12" s="1"/>
  <c r="F175" i="12" a="1"/>
  <c r="F175" i="12" s="1"/>
  <c r="J169" i="12" a="1"/>
  <c r="J169" i="12" s="1"/>
  <c r="G169" i="12" a="1"/>
  <c r="G169" i="12" s="1"/>
  <c r="I169" i="12" a="1"/>
  <c r="I169" i="12" s="1"/>
  <c r="F169" i="12" a="1"/>
  <c r="F169" i="12" s="1"/>
  <c r="J87" i="12" a="1"/>
  <c r="J87" i="12" s="1"/>
  <c r="G87" i="12" a="1"/>
  <c r="G87" i="12" s="1"/>
  <c r="I87" i="12" a="1"/>
  <c r="I87" i="12" s="1"/>
  <c r="F87" i="12" a="1"/>
  <c r="F87" i="12" s="1"/>
  <c r="J86" i="12" a="1"/>
  <c r="J86" i="12" s="1"/>
  <c r="I86" i="12" a="1"/>
  <c r="I86" i="12" s="1"/>
  <c r="G86" i="12" a="1"/>
  <c r="G86" i="12" s="1"/>
  <c r="F86" i="12" a="1"/>
  <c r="F86" i="12" s="1"/>
  <c r="G137" i="12" a="1"/>
  <c r="G137" i="12" s="1"/>
  <c r="I137" i="12" a="1"/>
  <c r="I137" i="12" s="1"/>
  <c r="J137" i="12" a="1"/>
  <c r="J137" i="12" s="1"/>
  <c r="F137" i="12" a="1"/>
  <c r="F137" i="12" s="1"/>
  <c r="F95" i="12" a="1"/>
  <c r="F95" i="12" s="1"/>
  <c r="G95" i="12" a="1"/>
  <c r="G95" i="12" s="1"/>
  <c r="I95" i="12" a="1"/>
  <c r="I95" i="12" s="1"/>
  <c r="J95" i="12" a="1"/>
  <c r="J95" i="12" s="1"/>
  <c r="G172" i="12" a="1"/>
  <c r="G172" i="12" s="1"/>
  <c r="I172" i="12" a="1"/>
  <c r="I172" i="12" s="1"/>
  <c r="J172" i="12" a="1"/>
  <c r="J172" i="12" s="1"/>
  <c r="F172" i="12" a="1"/>
  <c r="F172" i="12" s="1"/>
  <c r="J149" i="12" a="1"/>
  <c r="J149" i="12" s="1"/>
  <c r="G149" i="12" a="1"/>
  <c r="G149" i="12" s="1"/>
  <c r="I149" i="12" a="1"/>
  <c r="I149" i="12" s="1"/>
  <c r="F149" i="12" a="1"/>
  <c r="F149" i="12" s="1"/>
  <c r="G152" i="12" a="1"/>
  <c r="G152" i="12" s="1"/>
  <c r="I152" i="12" a="1"/>
  <c r="I152" i="12" s="1"/>
  <c r="J152" i="12" a="1"/>
  <c r="J152" i="12" s="1"/>
  <c r="F152" i="12" a="1"/>
  <c r="F152" i="12" s="1"/>
  <c r="J48" i="12" a="1"/>
  <c r="J48" i="12" s="1"/>
  <c r="G48" i="12" a="1"/>
  <c r="G48" i="12" s="1"/>
  <c r="F48" i="12" a="1"/>
  <c r="F48" i="12" s="1"/>
  <c r="I48" i="12" a="1"/>
  <c r="I48" i="12" s="1"/>
  <c r="G116" i="12" a="1"/>
  <c r="G116" i="12" s="1"/>
  <c r="I116" i="12" a="1"/>
  <c r="I116" i="12" s="1"/>
  <c r="J116" i="12" a="1"/>
  <c r="J116" i="12" s="1"/>
  <c r="F116" i="12" a="1"/>
  <c r="F116" i="12" s="1"/>
  <c r="I88" i="12" a="1"/>
  <c r="I88" i="12" s="1"/>
  <c r="F88" i="12" a="1"/>
  <c r="F88" i="12" s="1"/>
  <c r="G88" i="12" a="1"/>
  <c r="G88" i="12" s="1"/>
  <c r="J88" i="12" a="1"/>
  <c r="J88" i="12" s="1"/>
  <c r="J132" i="12" a="1"/>
  <c r="J132" i="12" s="1"/>
  <c r="I132" i="12" a="1"/>
  <c r="I132" i="12" s="1"/>
  <c r="G132" i="12" a="1"/>
  <c r="G132" i="12" s="1"/>
  <c r="F132" i="12" a="1"/>
  <c r="F132" i="12" s="1"/>
  <c r="J100" i="12" a="1"/>
  <c r="J100" i="12" s="1"/>
  <c r="I100" i="12" a="1"/>
  <c r="I100" i="12" s="1"/>
  <c r="F100" i="12" a="1"/>
  <c r="F100" i="12" s="1"/>
  <c r="G100" i="12" a="1"/>
  <c r="G100" i="12" s="1"/>
  <c r="J124" i="12" a="1"/>
  <c r="J124" i="12" s="1"/>
  <c r="F124" i="12" a="1"/>
  <c r="F124" i="12" s="1"/>
  <c r="G124" i="12" a="1"/>
  <c r="G124" i="12" s="1"/>
  <c r="I124" i="12" a="1"/>
  <c r="I124" i="12" s="1"/>
  <c r="J72" i="12" a="1"/>
  <c r="J72" i="12" s="1"/>
  <c r="I72" i="12" a="1"/>
  <c r="I72" i="12" s="1"/>
  <c r="F72" i="12" a="1"/>
  <c r="F72" i="12" s="1"/>
  <c r="G72" i="12" a="1"/>
  <c r="G72" i="12" s="1"/>
  <c r="J26" i="12" a="1"/>
  <c r="J26" i="12" s="1"/>
  <c r="G26" i="12" a="1"/>
  <c r="G26" i="12" s="1"/>
  <c r="F26" i="12" a="1"/>
  <c r="F26" i="12" s="1"/>
  <c r="I26" i="12" a="1"/>
  <c r="I26" i="12" s="1"/>
  <c r="J160" i="12" a="1"/>
  <c r="J160" i="12" s="1"/>
  <c r="G160" i="12" a="1"/>
  <c r="G160" i="12" s="1"/>
  <c r="I160" i="12" a="1"/>
  <c r="I160" i="12" s="1"/>
  <c r="F160" i="12" a="1"/>
  <c r="F160" i="12" s="1"/>
  <c r="J200" i="12" a="1"/>
  <c r="J200" i="12" s="1"/>
  <c r="I200" i="12" a="1"/>
  <c r="I200" i="12" s="1"/>
  <c r="G200" i="12" a="1"/>
  <c r="G200" i="12" s="1"/>
  <c r="F200" i="12" a="1"/>
  <c r="F200" i="12" s="1"/>
  <c r="J58" i="12" a="1"/>
  <c r="J58" i="12" s="1"/>
  <c r="G58" i="12" a="1"/>
  <c r="G58" i="12" s="1"/>
  <c r="I58" i="12" a="1"/>
  <c r="I58" i="12" s="1"/>
  <c r="F58" i="12" a="1"/>
  <c r="F58" i="12" s="1"/>
  <c r="G196" i="12" a="1"/>
  <c r="G196" i="12" s="1"/>
  <c r="J196" i="12" a="1"/>
  <c r="J196" i="12" s="1"/>
  <c r="F196" i="12" a="1"/>
  <c r="F196" i="12" s="1"/>
  <c r="I196" i="12" a="1"/>
  <c r="I196" i="12" s="1"/>
  <c r="J139" i="12" a="1"/>
  <c r="J139" i="12" s="1"/>
  <c r="I139" i="12" a="1"/>
  <c r="I139" i="12" s="1"/>
  <c r="G139" i="12" a="1"/>
  <c r="G139" i="12" s="1"/>
  <c r="F139" i="12" a="1"/>
  <c r="F139" i="12" s="1"/>
  <c r="J168" i="12" a="1"/>
  <c r="J168" i="12" s="1"/>
  <c r="I168" i="12" a="1"/>
  <c r="I168" i="12" s="1"/>
  <c r="G168" i="12" a="1"/>
  <c r="G168" i="12" s="1"/>
  <c r="F168" i="12" a="1"/>
  <c r="F168" i="12" s="1"/>
  <c r="J171" i="12" a="1"/>
  <c r="J171" i="12" s="1"/>
  <c r="I171" i="12" a="1"/>
  <c r="I171" i="12" s="1"/>
  <c r="G171" i="12" a="1"/>
  <c r="G171" i="12" s="1"/>
  <c r="F171" i="12" a="1"/>
  <c r="F171" i="12" s="1"/>
  <c r="I15" i="12" a="1"/>
  <c r="I15" i="12" s="1"/>
  <c r="F15" i="12" a="1"/>
  <c r="F15" i="12" s="1"/>
  <c r="J15" i="12" a="1"/>
  <c r="J15" i="12" s="1"/>
  <c r="G15" i="12" a="1"/>
  <c r="G15" i="12" s="1"/>
  <c r="J119" i="12" a="1"/>
  <c r="J119" i="12" s="1"/>
  <c r="G119" i="12" a="1"/>
  <c r="G119" i="12" s="1"/>
  <c r="I119" i="12" a="1"/>
  <c r="I119" i="12" s="1"/>
  <c r="F119" i="12" a="1"/>
  <c r="F119" i="12" s="1"/>
  <c r="I20" i="12" a="1"/>
  <c r="I20" i="12" s="1"/>
  <c r="J20" i="12" a="1"/>
  <c r="J20" i="12" s="1"/>
  <c r="G20" i="12" a="1"/>
  <c r="G20" i="12" s="1"/>
  <c r="F20" i="12" a="1"/>
  <c r="F20" i="12" s="1"/>
  <c r="J187" i="12" a="1"/>
  <c r="J187" i="12" s="1"/>
  <c r="I187" i="12" a="1"/>
  <c r="I187" i="12" s="1"/>
  <c r="G187" i="12" a="1"/>
  <c r="G187" i="12" s="1"/>
  <c r="F187" i="12" a="1"/>
  <c r="F187" i="12" s="1"/>
  <c r="I14" i="12" a="1"/>
  <c r="I14" i="12" s="1"/>
  <c r="J14" i="12" a="1"/>
  <c r="J14" i="12" s="1"/>
  <c r="G14" i="12" a="1"/>
  <c r="G14" i="12" s="1"/>
  <c r="F14" i="12" a="1"/>
  <c r="F14" i="12" s="1"/>
  <c r="J96" i="12" a="1"/>
  <c r="J96" i="12" s="1"/>
  <c r="F96" i="12" a="1"/>
  <c r="F96" i="12" s="1"/>
  <c r="G96" i="12" a="1"/>
  <c r="G96" i="12" s="1"/>
  <c r="I96" i="12" a="1"/>
  <c r="I96" i="12" s="1"/>
  <c r="J39" i="12" a="1"/>
  <c r="J39" i="12" s="1"/>
  <c r="I39" i="12" a="1"/>
  <c r="I39" i="12" s="1"/>
  <c r="G39" i="12" a="1"/>
  <c r="G39" i="12" s="1"/>
  <c r="F39" i="12" a="1"/>
  <c r="F39" i="12" s="1"/>
  <c r="G94" i="12" a="1"/>
  <c r="G94" i="12" s="1"/>
  <c r="I94" i="12" a="1"/>
  <c r="I94" i="12" s="1"/>
  <c r="J94" i="12" a="1"/>
  <c r="J94" i="12" s="1"/>
  <c r="F94" i="12" a="1"/>
  <c r="F94" i="12" s="1"/>
  <c r="J127" i="12" a="1"/>
  <c r="J127" i="12" s="1"/>
  <c r="G127" i="12" a="1"/>
  <c r="G127" i="12" s="1"/>
  <c r="I127" i="12" a="1"/>
  <c r="I127" i="12" s="1"/>
  <c r="F127" i="12" a="1"/>
  <c r="F127" i="12" s="1"/>
  <c r="J182" i="12" a="1"/>
  <c r="J182" i="12" s="1"/>
  <c r="G182" i="12" a="1"/>
  <c r="G182" i="12" s="1"/>
  <c r="I182" i="12" a="1"/>
  <c r="I182" i="12" s="1"/>
  <c r="F182" i="12" a="1"/>
  <c r="F182" i="12" s="1"/>
  <c r="I34" i="12" a="1"/>
  <c r="I34" i="12" s="1"/>
  <c r="J34" i="12" a="1"/>
  <c r="J34" i="12" s="1"/>
  <c r="G34" i="12" a="1"/>
  <c r="G34" i="12" s="1"/>
  <c r="F34" i="12" a="1"/>
  <c r="F34" i="12" s="1"/>
  <c r="J114" i="12" a="1"/>
  <c r="J114" i="12" s="1"/>
  <c r="I114" i="12" a="1"/>
  <c r="I114" i="12" s="1"/>
  <c r="G114" i="12" a="1"/>
  <c r="G114" i="12" s="1"/>
  <c r="F114" i="12" a="1"/>
  <c r="F114" i="12" s="1"/>
  <c r="J97" i="12" a="1"/>
  <c r="J97" i="12" s="1"/>
  <c r="I97" i="12" a="1"/>
  <c r="I97" i="12" s="1"/>
  <c r="G97" i="12" a="1"/>
  <c r="G97" i="12" s="1"/>
  <c r="F97" i="12" a="1"/>
  <c r="F97" i="12" s="1"/>
  <c r="J177" i="12" a="1"/>
  <c r="J177" i="12" s="1"/>
  <c r="G177" i="12" a="1"/>
  <c r="G177" i="12" s="1"/>
  <c r="I177" i="12" a="1"/>
  <c r="I177" i="12" s="1"/>
  <c r="F177" i="12" a="1"/>
  <c r="F177" i="12" s="1"/>
  <c r="J93" i="12" a="1"/>
  <c r="J93" i="12" s="1"/>
  <c r="I93" i="12" a="1"/>
  <c r="I93" i="12" s="1"/>
  <c r="G93" i="12" a="1"/>
  <c r="G93" i="12" s="1"/>
  <c r="F93" i="12" a="1"/>
  <c r="F93" i="12" s="1"/>
  <c r="J42" i="12" a="1"/>
  <c r="J42" i="12" s="1"/>
  <c r="I42" i="12" a="1"/>
  <c r="I42" i="12" s="1"/>
  <c r="G42" i="12" a="1"/>
  <c r="G42" i="12" s="1"/>
  <c r="F42" i="12" a="1"/>
  <c r="F42" i="12" s="1"/>
  <c r="J147" i="12" a="1"/>
  <c r="J147" i="12" s="1"/>
  <c r="G147" i="12" a="1"/>
  <c r="G147" i="12" s="1"/>
  <c r="I147" i="12" a="1"/>
  <c r="I147" i="12" s="1"/>
  <c r="F147" i="12" a="1"/>
  <c r="F147" i="12" s="1"/>
  <c r="J140" i="12" a="1"/>
  <c r="J140" i="12" s="1"/>
  <c r="G140" i="12" a="1"/>
  <c r="G140" i="12" s="1"/>
  <c r="I140" i="12" a="1"/>
  <c r="I140" i="12" s="1"/>
  <c r="F140" i="12" a="1"/>
  <c r="F140" i="12" s="1"/>
  <c r="J148" i="12" a="1"/>
  <c r="J148" i="12" s="1"/>
  <c r="G148" i="12" a="1"/>
  <c r="G148" i="12" s="1"/>
  <c r="I148" i="12" a="1"/>
  <c r="I148" i="12" s="1"/>
  <c r="F148" i="12" a="1"/>
  <c r="F148" i="12" s="1"/>
  <c r="J179" i="12" a="1"/>
  <c r="J179" i="12" s="1"/>
  <c r="I179" i="12" a="1"/>
  <c r="I179" i="12" s="1"/>
  <c r="G179" i="12" a="1"/>
  <c r="G179" i="12" s="1"/>
  <c r="F179" i="12" a="1"/>
  <c r="F179" i="12" s="1"/>
  <c r="I28" i="12" a="1"/>
  <c r="I28" i="12" s="1"/>
  <c r="J28" i="12" a="1"/>
  <c r="J28" i="12" s="1"/>
  <c r="G28" i="12" a="1"/>
  <c r="G28" i="12" s="1"/>
  <c r="F28" i="12" a="1"/>
  <c r="F28" i="12" s="1"/>
  <c r="J141" i="12" a="1"/>
  <c r="J141" i="12" s="1"/>
  <c r="G141" i="12" a="1"/>
  <c r="G141" i="12" s="1"/>
  <c r="I141" i="12" a="1"/>
  <c r="I141" i="12" s="1"/>
  <c r="F141" i="12" a="1"/>
  <c r="F141" i="12" s="1"/>
  <c r="I79" i="12" a="1"/>
  <c r="I79" i="12" s="1"/>
  <c r="J79" i="12" a="1"/>
  <c r="J79" i="12" s="1"/>
  <c r="G79" i="12" a="1"/>
  <c r="G79" i="12" s="1"/>
  <c r="F79" i="12" a="1"/>
  <c r="F79" i="12" s="1"/>
  <c r="J35" i="12" a="1"/>
  <c r="J35" i="12" s="1"/>
  <c r="I35" i="12" a="1"/>
  <c r="I35" i="12" s="1"/>
  <c r="F35" i="12" a="1"/>
  <c r="F35" i="12" s="1"/>
  <c r="G35" i="12" a="1"/>
  <c r="G35" i="12" s="1"/>
  <c r="J178" i="12" a="1"/>
  <c r="J178" i="12" s="1"/>
  <c r="I178" i="12" a="1"/>
  <c r="I178" i="12" s="1"/>
  <c r="G178" i="12" a="1"/>
  <c r="G178" i="12" s="1"/>
  <c r="F178" i="12" a="1"/>
  <c r="F178" i="12" s="1"/>
  <c r="J110" i="12" a="1"/>
  <c r="J110" i="12" s="1"/>
  <c r="F110" i="12" a="1"/>
  <c r="F110" i="12" s="1"/>
  <c r="G110" i="12" a="1"/>
  <c r="G110" i="12" s="1"/>
  <c r="I110" i="12" a="1"/>
  <c r="I110" i="12" s="1"/>
  <c r="J55" i="12" a="1"/>
  <c r="J55" i="12" s="1"/>
  <c r="G55" i="12" a="1"/>
  <c r="G55" i="12" s="1"/>
  <c r="F55" i="12" a="1"/>
  <c r="F55" i="12" s="1"/>
  <c r="I55" i="12" a="1"/>
  <c r="I55" i="12" s="1"/>
  <c r="J23" i="12" a="1"/>
  <c r="J23" i="12" s="1"/>
  <c r="G23" i="12" a="1"/>
  <c r="G23" i="12" s="1"/>
  <c r="I23" i="12" a="1"/>
  <c r="I23" i="12" s="1"/>
  <c r="F23" i="12" a="1"/>
  <c r="F23" i="12" s="1"/>
  <c r="J194" i="12" a="1"/>
  <c r="J194" i="12" s="1"/>
  <c r="I194" i="12" a="1"/>
  <c r="I194" i="12" s="1"/>
  <c r="G194" i="12" a="1"/>
  <c r="G194" i="12" s="1"/>
  <c r="F194" i="12" a="1"/>
  <c r="F194" i="12" s="1"/>
  <c r="J51" i="12" a="1"/>
  <c r="J51" i="12" s="1"/>
  <c r="G51" i="12" a="1"/>
  <c r="G51" i="12" s="1"/>
  <c r="F51" i="12" a="1"/>
  <c r="F51" i="12" s="1"/>
  <c r="I51" i="12" a="1"/>
  <c r="I51" i="12" s="1"/>
  <c r="J142" i="12" a="1"/>
  <c r="J142" i="12" s="1"/>
  <c r="F142" i="12" a="1"/>
  <c r="F142" i="12" s="1"/>
  <c r="G142" i="12" a="1"/>
  <c r="G142" i="12" s="1"/>
  <c r="I142" i="12" a="1"/>
  <c r="I142" i="12" s="1"/>
  <c r="I78" i="12" a="1"/>
  <c r="I78" i="12" s="1"/>
  <c r="J78" i="12" a="1"/>
  <c r="J78" i="12" s="1"/>
  <c r="F78" i="12" a="1"/>
  <c r="F78" i="12" s="1"/>
  <c r="G78" i="12" a="1"/>
  <c r="G78" i="12" s="1"/>
  <c r="J176" i="12" a="1"/>
  <c r="J176" i="12" s="1"/>
  <c r="G176" i="12" a="1"/>
  <c r="G176" i="12" s="1"/>
  <c r="I176" i="12" a="1"/>
  <c r="I176" i="12" s="1"/>
  <c r="F176" i="12" a="1"/>
  <c r="F176" i="12" s="1"/>
  <c r="J156" i="12" a="1"/>
  <c r="J156" i="12" s="1"/>
  <c r="G156" i="12" a="1"/>
  <c r="G156" i="12" s="1"/>
  <c r="I156" i="12" a="1"/>
  <c r="I156" i="12" s="1"/>
  <c r="F156" i="12" a="1"/>
  <c r="F156" i="12" s="1"/>
  <c r="G75" i="12" a="1"/>
  <c r="G75" i="12" s="1"/>
  <c r="J75" i="12" a="1"/>
  <c r="J75" i="12" s="1"/>
  <c r="I75" i="12" a="1"/>
  <c r="I75" i="12" s="1"/>
  <c r="F75" i="12" a="1"/>
  <c r="F75" i="12" s="1"/>
  <c r="J117" i="12" a="1"/>
  <c r="J117" i="12" s="1"/>
  <c r="F117" i="12" a="1"/>
  <c r="F117" i="12" s="1"/>
  <c r="G117" i="12" a="1"/>
  <c r="G117" i="12" s="1"/>
  <c r="I117" i="12" a="1"/>
  <c r="I117" i="12" s="1"/>
  <c r="I85" i="12" a="1"/>
  <c r="I85" i="12" s="1"/>
  <c r="J85" i="12" a="1"/>
  <c r="J85" i="12" s="1"/>
  <c r="F85" i="12" a="1"/>
  <c r="F85" i="12" s="1"/>
  <c r="G85" i="12" a="1"/>
  <c r="G85" i="12" s="1"/>
  <c r="J190" i="12" a="1"/>
  <c r="J190" i="12" s="1"/>
  <c r="I190" i="12" a="1"/>
  <c r="I190" i="12" s="1"/>
  <c r="G190" i="12" a="1"/>
  <c r="G190" i="12" s="1"/>
  <c r="F190" i="12" a="1"/>
  <c r="F190" i="12" s="1"/>
  <c r="J154" i="12" a="1"/>
  <c r="J154" i="12" s="1"/>
  <c r="G154" i="12" a="1"/>
  <c r="G154" i="12" s="1"/>
  <c r="I154" i="12" a="1"/>
  <c r="I154" i="12" s="1"/>
  <c r="F154" i="12" a="1"/>
  <c r="F154" i="12" s="1"/>
  <c r="J134" i="12" a="1"/>
  <c r="J134" i="12" s="1"/>
  <c r="G134" i="12" a="1"/>
  <c r="G134" i="12" s="1"/>
  <c r="I134" i="12" a="1"/>
  <c r="I134" i="12" s="1"/>
  <c r="F134" i="12" a="1"/>
  <c r="F134" i="12" s="1"/>
  <c r="G109" i="12" a="1"/>
  <c r="G109" i="12" s="1"/>
  <c r="I109" i="12" a="1"/>
  <c r="I109" i="12" s="1"/>
  <c r="J109" i="12" a="1"/>
  <c r="J109" i="12" s="1"/>
  <c r="F109" i="12" a="1"/>
  <c r="F109" i="12" s="1"/>
  <c r="F102" i="12" a="1"/>
  <c r="F102" i="12" s="1"/>
  <c r="G102" i="12" a="1"/>
  <c r="G102" i="12" s="1"/>
  <c r="I102" i="12" a="1"/>
  <c r="I102" i="12" s="1"/>
  <c r="J102" i="12" a="1"/>
  <c r="J102" i="12" s="1"/>
  <c r="J18" i="12" a="1"/>
  <c r="J18" i="12" s="1"/>
  <c r="G18" i="12" a="1"/>
  <c r="G18" i="12" s="1"/>
  <c r="I18" i="12" a="1"/>
  <c r="I18" i="12" s="1"/>
  <c r="F18" i="12" a="1"/>
  <c r="F18" i="12" s="1"/>
  <c r="J105" i="12" a="1"/>
  <c r="J105" i="12" s="1"/>
  <c r="G105" i="12" a="1"/>
  <c r="G105" i="12" s="1"/>
  <c r="I105" i="12" a="1"/>
  <c r="I105" i="12" s="1"/>
  <c r="F105" i="12" a="1"/>
  <c r="F105" i="12" s="1"/>
  <c r="I66" i="12" a="1"/>
  <c r="I66" i="12" s="1"/>
  <c r="F66" i="12" a="1"/>
  <c r="F66" i="12" s="1"/>
  <c r="J66" i="12" a="1"/>
  <c r="J66" i="12" s="1"/>
  <c r="G66" i="12" a="1"/>
  <c r="G66" i="12" s="1"/>
  <c r="J184" i="12" a="1"/>
  <c r="J184" i="12" s="1"/>
  <c r="I184" i="12" a="1"/>
  <c r="I184" i="12" s="1"/>
  <c r="G184" i="12" a="1"/>
  <c r="G184" i="12" s="1"/>
  <c r="F184" i="12" a="1"/>
  <c r="F184" i="12" s="1"/>
  <c r="J135" i="12" a="1"/>
  <c r="J135" i="12" s="1"/>
  <c r="F135" i="12" a="1"/>
  <c r="F135" i="12" s="1"/>
  <c r="G135" i="12" a="1"/>
  <c r="G135" i="12" s="1"/>
  <c r="I135" i="12" a="1"/>
  <c r="I135" i="12" s="1"/>
  <c r="I59" i="12" a="1"/>
  <c r="I59" i="12" s="1"/>
  <c r="J59" i="12" a="1"/>
  <c r="J59" i="12" s="1"/>
  <c r="F59" i="12" a="1"/>
  <c r="F59" i="12" s="1"/>
  <c r="G59" i="12" a="1"/>
  <c r="G59" i="12" s="1"/>
  <c r="J10" i="12" a="1"/>
  <c r="J10" i="12" s="1"/>
  <c r="I10" i="12" a="1"/>
  <c r="I10" i="12" s="1"/>
  <c r="G10" i="12" a="1"/>
  <c r="G10" i="12" s="1"/>
  <c r="F10" i="12" a="1"/>
  <c r="F10" i="12" s="1"/>
  <c r="J199" i="12" a="1"/>
  <c r="J199" i="12" s="1"/>
  <c r="I199" i="12" a="1"/>
  <c r="I199" i="12" s="1"/>
  <c r="G199" i="12" a="1"/>
  <c r="G199" i="12" s="1"/>
  <c r="F199" i="12" a="1"/>
  <c r="F199" i="12" s="1"/>
  <c r="J153" i="12" a="1"/>
  <c r="J153" i="12" s="1"/>
  <c r="G153" i="12" a="1"/>
  <c r="G153" i="12" s="1"/>
  <c r="I153" i="12" a="1"/>
  <c r="I153" i="12" s="1"/>
  <c r="F153" i="12" a="1"/>
  <c r="F153" i="12" s="1"/>
  <c r="J111" i="12" a="1"/>
  <c r="J111" i="12" s="1"/>
  <c r="I111" i="12" a="1"/>
  <c r="I111" i="12" s="1"/>
  <c r="G111" i="12" a="1"/>
  <c r="G111" i="12" s="1"/>
  <c r="F111" i="12" a="1"/>
  <c r="F111" i="12" s="1"/>
  <c r="I43" i="12" a="1"/>
  <c r="I43" i="12" s="1"/>
  <c r="J43" i="12" a="1"/>
  <c r="J43" i="12" s="1"/>
  <c r="F43" i="12" a="1"/>
  <c r="F43" i="12" s="1"/>
  <c r="G43" i="12" a="1"/>
  <c r="G43" i="12" s="1"/>
  <c r="J131" i="12" a="1"/>
  <c r="J131" i="12" s="1"/>
  <c r="F131" i="12" a="1"/>
  <c r="F131" i="12" s="1"/>
  <c r="G131" i="12" a="1"/>
  <c r="G131" i="12" s="1"/>
  <c r="I131" i="12" a="1"/>
  <c r="I131" i="12" s="1"/>
  <c r="J113" i="12" a="1"/>
  <c r="J113" i="12" s="1"/>
  <c r="G113" i="12" a="1"/>
  <c r="G113" i="12" s="1"/>
  <c r="I113" i="12" a="1"/>
  <c r="I113" i="12" s="1"/>
  <c r="F113" i="12" a="1"/>
  <c r="F113" i="12" s="1"/>
  <c r="J183" i="12" a="1"/>
  <c r="J183" i="12" s="1"/>
  <c r="G183" i="12" a="1"/>
  <c r="G183" i="12" s="1"/>
  <c r="I183" i="12" a="1"/>
  <c r="I183" i="12" s="1"/>
  <c r="F183" i="12" a="1"/>
  <c r="F183" i="12" s="1"/>
  <c r="J133" i="12" a="1"/>
  <c r="J133" i="12" s="1"/>
  <c r="G133" i="12" a="1"/>
  <c r="G133" i="12" s="1"/>
  <c r="I133" i="12" a="1"/>
  <c r="I133" i="12" s="1"/>
  <c r="F133" i="12" a="1"/>
  <c r="F133" i="12" s="1"/>
  <c r="J121" i="12" a="1"/>
  <c r="J121" i="12" s="1"/>
  <c r="F121" i="12" a="1"/>
  <c r="F121" i="12" s="1"/>
  <c r="G121" i="12" a="1"/>
  <c r="G121" i="12" s="1"/>
  <c r="I121" i="12" a="1"/>
  <c r="I121" i="12" s="1"/>
  <c r="J8" i="12" a="1"/>
  <c r="J8" i="12" s="1"/>
  <c r="I8" i="12" a="1"/>
  <c r="I8" i="12" s="1"/>
  <c r="F8" i="12" a="1"/>
  <c r="F8" i="12" s="1"/>
  <c r="G8" i="12" a="1"/>
  <c r="G8" i="12" s="1"/>
  <c r="J163" i="12" a="1"/>
  <c r="J163" i="12" s="1"/>
  <c r="G163" i="12" a="1"/>
  <c r="G163" i="12" s="1"/>
  <c r="I163" i="12" a="1"/>
  <c r="I163" i="12" s="1"/>
  <c r="F163" i="12" a="1"/>
  <c r="F163" i="12" s="1"/>
  <c r="I27" i="12" a="1"/>
  <c r="I27" i="12" s="1"/>
  <c r="J27" i="12" a="1"/>
  <c r="J27" i="12" s="1"/>
  <c r="G27" i="12" a="1"/>
  <c r="G27" i="12" s="1"/>
  <c r="F27" i="12" a="1"/>
  <c r="F27" i="12" s="1"/>
  <c r="J47" i="12" a="1"/>
  <c r="J47" i="12" s="1"/>
  <c r="G47" i="12" a="1"/>
  <c r="G47" i="12" s="1"/>
  <c r="I47" i="12" a="1"/>
  <c r="I47" i="12" s="1"/>
  <c r="F47" i="12" a="1"/>
  <c r="F47" i="12" s="1"/>
  <c r="J126" i="12" a="1"/>
  <c r="J126" i="12" s="1"/>
  <c r="G126" i="12" a="1"/>
  <c r="G126" i="12" s="1"/>
  <c r="I126" i="12" a="1"/>
  <c r="I126" i="12" s="1"/>
  <c r="F126" i="12" a="1"/>
  <c r="F126" i="12" s="1"/>
  <c r="J71" i="12" a="1"/>
  <c r="J71" i="12" s="1"/>
  <c r="I71" i="12" a="1"/>
  <c r="I71" i="12" s="1"/>
  <c r="F71" i="12" a="1"/>
  <c r="F71" i="12" s="1"/>
  <c r="G71" i="12" a="1"/>
  <c r="G71" i="12" s="1"/>
  <c r="J90" i="12" a="1"/>
  <c r="J90" i="12" s="1"/>
  <c r="G90" i="12" a="1"/>
  <c r="G90" i="12" s="1"/>
  <c r="I90" i="12" a="1"/>
  <c r="I90" i="12" s="1"/>
  <c r="F90" i="12" a="1"/>
  <c r="F90" i="12" s="1"/>
  <c r="I50" i="12" a="1"/>
  <c r="I50" i="12" s="1"/>
  <c r="F50" i="12" a="1"/>
  <c r="F50" i="12" s="1"/>
  <c r="J50" i="12" a="1"/>
  <c r="J50" i="12" s="1"/>
  <c r="G50" i="12" a="1"/>
  <c r="G50" i="12" s="1"/>
  <c r="J129" i="12" a="1"/>
  <c r="J129" i="12" s="1"/>
  <c r="I129" i="12" a="1"/>
  <c r="I129" i="12" s="1"/>
  <c r="F129" i="12" a="1"/>
  <c r="F129" i="12" s="1"/>
  <c r="G129" i="12" a="1"/>
  <c r="G129" i="12" s="1"/>
  <c r="G115" i="12" a="1"/>
  <c r="G115" i="12" s="1"/>
  <c r="I115" i="12" a="1"/>
  <c r="I115" i="12" s="1"/>
  <c r="J115" i="12" a="1"/>
  <c r="J115" i="12" s="1"/>
  <c r="F115" i="12" a="1"/>
  <c r="F115" i="12" s="1"/>
  <c r="I197" i="12" a="1"/>
  <c r="I197" i="12" s="1"/>
  <c r="G197" i="12" a="1"/>
  <c r="G197" i="12" s="1"/>
  <c r="J197" i="12" a="1"/>
  <c r="J197" i="12" s="1"/>
  <c r="F197" i="12" a="1"/>
  <c r="F197" i="12" s="1"/>
  <c r="J103" i="12" a="1"/>
  <c r="J103" i="12" s="1"/>
  <c r="F103" i="12" a="1"/>
  <c r="F103" i="12" s="1"/>
  <c r="G103" i="12" a="1"/>
  <c r="G103" i="12" s="1"/>
  <c r="I103" i="12" a="1"/>
  <c r="I103" i="12" s="1"/>
  <c r="J80" i="12" a="1"/>
  <c r="J80" i="12" s="1"/>
  <c r="G80" i="12" a="1"/>
  <c r="G80" i="12" s="1"/>
  <c r="I80" i="12" a="1"/>
  <c r="I80" i="12" s="1"/>
  <c r="F80" i="12" a="1"/>
  <c r="F80" i="12" s="1"/>
  <c r="G101" i="12" a="1"/>
  <c r="G101" i="12" s="1"/>
  <c r="I101" i="12" a="1"/>
  <c r="I101" i="12" s="1"/>
  <c r="J101" i="12" a="1"/>
  <c r="J101" i="12" s="1"/>
  <c r="F101" i="12" a="1"/>
  <c r="F101" i="12" s="1"/>
  <c r="I24" i="12" a="1"/>
  <c r="I24" i="12" s="1"/>
  <c r="G24" i="12" a="1"/>
  <c r="G24" i="12" s="1"/>
  <c r="J24" i="12" a="1"/>
  <c r="J24" i="12" s="1"/>
  <c r="F24" i="12" a="1"/>
  <c r="F24" i="12" s="1"/>
  <c r="I63" i="12" a="1"/>
  <c r="I63" i="12" s="1"/>
  <c r="G63" i="12" a="1"/>
  <c r="G63" i="12" s="1"/>
  <c r="F63" i="12" a="1"/>
  <c r="F63" i="12" s="1"/>
  <c r="J63" i="12" a="1"/>
  <c r="J63" i="12" s="1"/>
  <c r="J128" i="12" a="1"/>
  <c r="J128" i="12" s="1"/>
  <c r="F128" i="12" a="1"/>
  <c r="F128" i="12" s="1"/>
  <c r="G128" i="12" a="1"/>
  <c r="G128" i="12" s="1"/>
  <c r="I128" i="12" a="1"/>
  <c r="I128" i="12" s="1"/>
  <c r="I92" i="12" a="1"/>
  <c r="I92" i="12" s="1"/>
  <c r="J92" i="12" a="1"/>
  <c r="J92" i="12" s="1"/>
  <c r="F92" i="12" a="1"/>
  <c r="F92" i="12" s="1"/>
  <c r="G92" i="12" a="1"/>
  <c r="G92" i="12" s="1"/>
  <c r="G159" i="12" a="1"/>
  <c r="G159" i="12" s="1"/>
  <c r="I159" i="12" a="1"/>
  <c r="I159" i="12" s="1"/>
  <c r="F159" i="12" a="1"/>
  <c r="F159" i="12" s="1"/>
  <c r="J159" i="12" a="1"/>
  <c r="J159" i="12" s="1"/>
  <c r="J195" i="12" a="1"/>
  <c r="J195" i="12" s="1"/>
  <c r="I195" i="12" a="1"/>
  <c r="I195" i="12" s="1"/>
  <c r="G195" i="12" a="1"/>
  <c r="G195" i="12" s="1"/>
  <c r="F195" i="12" a="1"/>
  <c r="F195" i="12" s="1"/>
  <c r="J191" i="12" a="1"/>
  <c r="J191" i="12" s="1"/>
  <c r="I191" i="12" a="1"/>
  <c r="I191" i="12" s="1"/>
  <c r="G191" i="12" a="1"/>
  <c r="G191" i="12" s="1"/>
  <c r="F191" i="12" a="1"/>
  <c r="F191" i="12" s="1"/>
  <c r="G108" i="12" a="1"/>
  <c r="G108" i="12" s="1"/>
  <c r="I108" i="12" a="1"/>
  <c r="I108" i="12" s="1"/>
  <c r="J108" i="12" a="1"/>
  <c r="J108" i="12" s="1"/>
  <c r="F108" i="12" a="1"/>
  <c r="F108" i="12" s="1"/>
  <c r="G76" i="12" a="1"/>
  <c r="G76" i="12" s="1"/>
  <c r="J76" i="12" a="1"/>
  <c r="J76" i="12" s="1"/>
  <c r="I76" i="12" a="1"/>
  <c r="I76" i="12" s="1"/>
  <c r="F76" i="12" a="1"/>
  <c r="F76" i="12" s="1"/>
  <c r="J67" i="12" a="1"/>
  <c r="J67" i="12" s="1"/>
  <c r="I67" i="12" a="1"/>
  <c r="I67" i="12" s="1"/>
  <c r="F67" i="12" a="1"/>
  <c r="F67" i="12" s="1"/>
  <c r="G67" i="12" a="1"/>
  <c r="G67" i="12" s="1"/>
  <c r="G144" i="12" a="1"/>
  <c r="G144" i="12" s="1"/>
  <c r="I144" i="12" a="1"/>
  <c r="I144" i="12" s="1"/>
  <c r="J144" i="12" a="1"/>
  <c r="J144" i="12" s="1"/>
  <c r="F144" i="12" a="1"/>
  <c r="F144" i="12" s="1"/>
  <c r="J162" i="12" a="1"/>
  <c r="J162" i="12" s="1"/>
  <c r="G162" i="12" a="1"/>
  <c r="G162" i="12" s="1"/>
  <c r="I162" i="12" a="1"/>
  <c r="I162" i="12" s="1"/>
  <c r="F162" i="12" a="1"/>
  <c r="F162" i="12" s="1"/>
  <c r="J167" i="12" a="1"/>
  <c r="J167" i="12" s="1"/>
  <c r="G167" i="12" a="1"/>
  <c r="G167" i="12" s="1"/>
  <c r="I167" i="12" a="1"/>
  <c r="I167" i="12" s="1"/>
  <c r="F167" i="12" a="1"/>
  <c r="F167" i="12" s="1"/>
  <c r="J136" i="12" a="1"/>
  <c r="J136" i="12" s="1"/>
  <c r="I136" i="12" a="1"/>
  <c r="I136" i="12" s="1"/>
  <c r="G136" i="12" a="1"/>
  <c r="G136" i="12" s="1"/>
  <c r="F136" i="12" a="1"/>
  <c r="F136" i="12" s="1"/>
  <c r="J104" i="12" a="1"/>
  <c r="J104" i="12" s="1"/>
  <c r="I104" i="12" a="1"/>
  <c r="I104" i="12" s="1"/>
  <c r="G104" i="12" a="1"/>
  <c r="G104" i="12" s="1"/>
  <c r="F104" i="12" a="1"/>
  <c r="F104" i="12" s="1"/>
  <c r="J112" i="12" a="1"/>
  <c r="J112" i="12" s="1"/>
  <c r="G112" i="12" a="1"/>
  <c r="G112" i="12" s="1"/>
  <c r="I112" i="12" a="1"/>
  <c r="I112" i="12" s="1"/>
  <c r="F112" i="12" a="1"/>
  <c r="F112" i="12" s="1"/>
  <c r="I56" i="12" a="1"/>
  <c r="I56" i="12" s="1"/>
  <c r="G56" i="12" a="1"/>
  <c r="G56" i="12" s="1"/>
  <c r="F56" i="12" a="1"/>
  <c r="F56" i="12" s="1"/>
  <c r="J56" i="12" a="1"/>
  <c r="J56" i="12" s="1"/>
  <c r="J2" i="12" a="1"/>
  <c r="J2" i="12" s="1"/>
  <c r="I2" i="12" a="1"/>
  <c r="I2" i="12" s="1"/>
  <c r="F2" i="12" a="1"/>
  <c r="F2" i="12" s="1"/>
  <c r="G2" i="12" a="1"/>
  <c r="G2" i="12" s="1"/>
  <c r="G151" i="12" a="1"/>
  <c r="G151" i="12" s="1"/>
  <c r="I151" i="12" a="1"/>
  <c r="I151" i="12" s="1"/>
  <c r="J151" i="12" a="1"/>
  <c r="J151" i="12" s="1"/>
  <c r="F151" i="12" a="1"/>
  <c r="F151" i="12" s="1"/>
  <c r="G188" i="12" a="1"/>
  <c r="G188" i="12" s="1"/>
  <c r="I188" i="12" a="1"/>
  <c r="I188" i="12" s="1"/>
  <c r="J188" i="12" a="1"/>
  <c r="J188" i="12" s="1"/>
  <c r="F188" i="12" a="1"/>
  <c r="F188" i="12" s="1"/>
  <c r="G145" i="12" a="1"/>
  <c r="G145" i="12" s="1"/>
  <c r="I145" i="12" a="1"/>
  <c r="I145" i="12" s="1"/>
  <c r="J145" i="12" a="1"/>
  <c r="J145" i="12" s="1"/>
  <c r="F145" i="12" a="1"/>
  <c r="F145" i="12" s="1"/>
  <c r="I89" i="12" a="1"/>
  <c r="I89" i="12" s="1"/>
  <c r="F89" i="12" a="1"/>
  <c r="F89" i="12" s="1"/>
  <c r="G89" i="12" a="1"/>
  <c r="G89" i="12" s="1"/>
  <c r="J89" i="12" a="1"/>
  <c r="J89" i="12" s="1"/>
  <c r="I31" i="12" a="1"/>
  <c r="I31" i="12" s="1"/>
  <c r="G31" i="12" a="1"/>
  <c r="G31" i="12" s="1"/>
  <c r="J31" i="12" a="1"/>
  <c r="J31" i="12" s="1"/>
  <c r="F31" i="12" a="1"/>
  <c r="F31" i="12" s="1"/>
  <c r="J120" i="12" a="1"/>
  <c r="J120" i="12" s="1"/>
  <c r="G120" i="12" a="1"/>
  <c r="G120" i="12" s="1"/>
  <c r="I120" i="12" a="1"/>
  <c r="I120" i="12" s="1"/>
  <c r="F120" i="12" a="1"/>
  <c r="F120" i="12" s="1"/>
  <c r="J155" i="12" a="1"/>
  <c r="J155" i="12" s="1"/>
  <c r="G155" i="12" a="1"/>
  <c r="G155" i="12" s="1"/>
  <c r="I155" i="12" a="1"/>
  <c r="I155" i="12" s="1"/>
  <c r="F155" i="12" a="1"/>
  <c r="F155" i="12" s="1"/>
  <c r="J40" i="12" a="1"/>
  <c r="J40" i="12" s="1"/>
  <c r="F40" i="12" a="1"/>
  <c r="F40" i="12" s="1"/>
  <c r="I40" i="12" a="1"/>
  <c r="I40" i="12" s="1"/>
  <c r="G40" i="12" a="1"/>
  <c r="G40" i="12" s="1"/>
  <c r="G180" i="12" a="1"/>
  <c r="G180" i="12" s="1"/>
  <c r="J180" i="12" a="1"/>
  <c r="J180" i="12" s="1"/>
  <c r="I180" i="12" a="1"/>
  <c r="I180" i="12" s="1"/>
  <c r="F180" i="12" a="1"/>
  <c r="F180" i="12" s="1"/>
  <c r="J99" i="12" a="1"/>
  <c r="J99" i="12" s="1"/>
  <c r="F99" i="12" a="1"/>
  <c r="F99" i="12" s="1"/>
  <c r="G99" i="12" a="1"/>
  <c r="G99" i="12" s="1"/>
  <c r="I99" i="12" a="1"/>
  <c r="I99" i="12" s="1"/>
  <c r="I46" i="12" a="1"/>
  <c r="I46" i="12" s="1"/>
  <c r="J46" i="12" a="1"/>
  <c r="J46" i="12" s="1"/>
  <c r="G46" i="12" a="1"/>
  <c r="G46" i="12" s="1"/>
  <c r="F46" i="12" a="1"/>
  <c r="F46" i="12" s="1"/>
  <c r="I81" i="12" a="1"/>
  <c r="I81" i="12" s="1"/>
  <c r="J81" i="12" a="1"/>
  <c r="J81" i="12" s="1"/>
  <c r="F81" i="12" a="1"/>
  <c r="F81" i="12" s="1"/>
  <c r="G81" i="12" a="1"/>
  <c r="G81" i="12" s="1"/>
  <c r="J11" i="12" a="1"/>
  <c r="J11" i="12" s="1"/>
  <c r="F11" i="12" a="1"/>
  <c r="F11" i="12" s="1"/>
  <c r="I11" i="12" a="1"/>
  <c r="I11" i="12" s="1"/>
  <c r="G11" i="12" a="1"/>
  <c r="G11" i="12" s="1"/>
  <c r="J16" i="12" a="1"/>
  <c r="J16" i="12" s="1"/>
  <c r="G16" i="12" a="1"/>
  <c r="G16" i="12" s="1"/>
  <c r="I16" i="12" a="1"/>
  <c r="I16" i="12" s="1"/>
  <c r="F16" i="12" a="1"/>
  <c r="F16" i="12" s="1"/>
  <c r="AA10" i="12"/>
  <c r="AA13" i="12"/>
  <c r="AB14" i="12"/>
  <c r="AA14" i="12"/>
  <c r="AB12" i="12"/>
  <c r="AB11" i="12"/>
  <c r="AA12" i="12"/>
  <c r="AB10" i="12"/>
  <c r="U4" i="12"/>
  <c r="AA11" i="12"/>
  <c r="AB13" i="12"/>
  <c r="U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<sst xmlns="http://schemas.openxmlformats.org/spreadsheetml/2006/main" count="3256" uniqueCount="202">
  <si>
    <t>ID_Venda</t>
  </si>
  <si>
    <t>Data</t>
  </si>
  <si>
    <t>Cliente</t>
  </si>
  <si>
    <t>Produto</t>
  </si>
  <si>
    <t>Quantidade</t>
  </si>
  <si>
    <t>Preço_Unitário</t>
  </si>
  <si>
    <t>Cidade</t>
  </si>
  <si>
    <t>2024-01-07</t>
  </si>
  <si>
    <t>Obras Silva</t>
  </si>
  <si>
    <t>Cal Hidratada</t>
  </si>
  <si>
    <t>Osasco</t>
  </si>
  <si>
    <t>2024-01-08</t>
  </si>
  <si>
    <t>Construtora Alfa</t>
  </si>
  <si>
    <t>Campinas</t>
  </si>
  <si>
    <t>2024-03-12</t>
  </si>
  <si>
    <t>Brita 30kg</t>
  </si>
  <si>
    <t>dez</t>
  </si>
  <si>
    <t>Guarulhos</t>
  </si>
  <si>
    <t>2024-04-07</t>
  </si>
  <si>
    <t>Tinta 18L</t>
  </si>
  <si>
    <t>2024-04-06</t>
  </si>
  <si>
    <t>São Paulo</t>
  </si>
  <si>
    <t>2024-07-16</t>
  </si>
  <si>
    <t>Areia 20kg</t>
  </si>
  <si>
    <t>2024-02-11</t>
  </si>
  <si>
    <t>2024-05-16</t>
  </si>
  <si>
    <t>Construtora Beta</t>
  </si>
  <si>
    <t>2024-07-15</t>
  </si>
  <si>
    <t>2024-05-25</t>
  </si>
  <si>
    <t>2024-03-04</t>
  </si>
  <si>
    <t>2024-02-05</t>
  </si>
  <si>
    <t>Canos PVC</t>
  </si>
  <si>
    <t>2024-06-23</t>
  </si>
  <si>
    <t>Cliente Final</t>
  </si>
  <si>
    <t>2024-05-21</t>
  </si>
  <si>
    <t>R$ 30</t>
  </si>
  <si>
    <t>2024-02-10</t>
  </si>
  <si>
    <t>Cimento 50kg</t>
  </si>
  <si>
    <t>2024-06-12</t>
  </si>
  <si>
    <t>2024-01-05</t>
  </si>
  <si>
    <t>2024-01-18</t>
  </si>
  <si>
    <t>2024-06-04</t>
  </si>
  <si>
    <t>2024-04-22</t>
  </si>
  <si>
    <t>2024-02-28</t>
  </si>
  <si>
    <t>2024-03-25</t>
  </si>
  <si>
    <t>2024-05-26</t>
  </si>
  <si>
    <t>2024-03-31</t>
  </si>
  <si>
    <t>Metais</t>
  </si>
  <si>
    <t>2024-03-27</t>
  </si>
  <si>
    <t>Santos</t>
  </si>
  <si>
    <t>2024-04-28</t>
  </si>
  <si>
    <t>2024-03-01</t>
  </si>
  <si>
    <t>2024-01-01</t>
  </si>
  <si>
    <t>Argamassa AC2</t>
  </si>
  <si>
    <t>2024-02-25</t>
  </si>
  <si>
    <t>2024-05-15</t>
  </si>
  <si>
    <t>2024-04-13</t>
  </si>
  <si>
    <t>2024-05-13</t>
  </si>
  <si>
    <t>2024-03-17</t>
  </si>
  <si>
    <t>2024-05-09</t>
  </si>
  <si>
    <t>2024-05-19</t>
  </si>
  <si>
    <t>2024-01-28</t>
  </si>
  <si>
    <t>2024-03-08</t>
  </si>
  <si>
    <t>2024-06-25</t>
  </si>
  <si>
    <t>2024-03-19</t>
  </si>
  <si>
    <t>2024-04-14</t>
  </si>
  <si>
    <t>2024-03-26</t>
  </si>
  <si>
    <t>2024-04-30</t>
  </si>
  <si>
    <t>2024-04-12</t>
  </si>
  <si>
    <t>2024-05-17</t>
  </si>
  <si>
    <t>2024-04-21</t>
  </si>
  <si>
    <t>2024-02-01</t>
  </si>
  <si>
    <t>2024-04-17</t>
  </si>
  <si>
    <t>2024-04-20</t>
  </si>
  <si>
    <t>2024-07-07</t>
  </si>
  <si>
    <t>2024-02-20</t>
  </si>
  <si>
    <t>2024-06-10</t>
  </si>
  <si>
    <t>2024-07-11</t>
  </si>
  <si>
    <t>2024-03-10</t>
  </si>
  <si>
    <t>2024-06-29</t>
  </si>
  <si>
    <t>2024-04-09</t>
  </si>
  <si>
    <t>2024-06-18</t>
  </si>
  <si>
    <t>2024-03-24</t>
  </si>
  <si>
    <t>2024-06-20</t>
  </si>
  <si>
    <t>2024-07-10</t>
  </si>
  <si>
    <t>2024-01-31</t>
  </si>
  <si>
    <t>2024-01-04</t>
  </si>
  <si>
    <t>2024-02-15</t>
  </si>
  <si>
    <t>2024-01-23</t>
  </si>
  <si>
    <t>2024-02-16</t>
  </si>
  <si>
    <t>2024-01-22</t>
  </si>
  <si>
    <t>2024-01-24</t>
  </si>
  <si>
    <t>2024-03-29</t>
  </si>
  <si>
    <t>2024-07-13</t>
  </si>
  <si>
    <t>2024-06-30</t>
  </si>
  <si>
    <t>2024-01-14</t>
  </si>
  <si>
    <t>2024-04-16</t>
  </si>
  <si>
    <t>2024-04-19</t>
  </si>
  <si>
    <t>2024-01-19</t>
  </si>
  <si>
    <t>2024-03-09</t>
  </si>
  <si>
    <t>2024-06-03</t>
  </si>
  <si>
    <t>2024-05-27</t>
  </si>
  <si>
    <t>2024-05-05</t>
  </si>
  <si>
    <t>2024-06-26</t>
  </si>
  <si>
    <t>2024-07-12</t>
  </si>
  <si>
    <t>2024-06-27</t>
  </si>
  <si>
    <t>2024-03-15</t>
  </si>
  <si>
    <t>2024-04-08</t>
  </si>
  <si>
    <t>2024-05-03</t>
  </si>
  <si>
    <t>2024-03-02</t>
  </si>
  <si>
    <t>2024-01-20</t>
  </si>
  <si>
    <t>2024-03-14</t>
  </si>
  <si>
    <t>2024-05-07</t>
  </si>
  <si>
    <t>2024-04-29</t>
  </si>
  <si>
    <t>2024-04-18</t>
  </si>
  <si>
    <t>2024-07-18</t>
  </si>
  <si>
    <t>2024-06-07</t>
  </si>
  <si>
    <t>2024-07-06</t>
  </si>
  <si>
    <t>2024-05-18</t>
  </si>
  <si>
    <t>2024-03-16</t>
  </si>
  <si>
    <t>2024-04-11</t>
  </si>
  <si>
    <t>2024-05-23</t>
  </si>
  <si>
    <t>2024-04-26</t>
  </si>
  <si>
    <t>2024-04-04</t>
  </si>
  <si>
    <t>2024-06-13</t>
  </si>
  <si>
    <t>2024-07-14</t>
  </si>
  <si>
    <t>2024-06-01</t>
  </si>
  <si>
    <t>2024-02-02</t>
  </si>
  <si>
    <t>2024-04-25</t>
  </si>
  <si>
    <t>2024-05-20</t>
  </si>
  <si>
    <t>2024-01-30</t>
  </si>
  <si>
    <t>2024-06-24</t>
  </si>
  <si>
    <t>2024-02-03</t>
  </si>
  <si>
    <t>2024-02-27</t>
  </si>
  <si>
    <t>2024-06-11</t>
  </si>
  <si>
    <t>2024-03-20</t>
  </si>
  <si>
    <t>2024-06-02</t>
  </si>
  <si>
    <t>2024-05-14</t>
  </si>
  <si>
    <t>2024-03-06</t>
  </si>
  <si>
    <t>2024-06-09</t>
  </si>
  <si>
    <t>2024-03-28</t>
  </si>
  <si>
    <t>2024-06-05</t>
  </si>
  <si>
    <t>2024-06-17</t>
  </si>
  <si>
    <t>2024-06-16</t>
  </si>
  <si>
    <t>2024-01-21</t>
  </si>
  <si>
    <t>2024-02-08</t>
  </si>
  <si>
    <t>2024-02-17</t>
  </si>
  <si>
    <t>2024-01-12</t>
  </si>
  <si>
    <t>2024-02-18</t>
  </si>
  <si>
    <t>2024-07-09</t>
  </si>
  <si>
    <t>2024-05-12</t>
  </si>
  <si>
    <t>2024-01-27</t>
  </si>
  <si>
    <t>2024-03-30</t>
  </si>
  <si>
    <t>2024-01-17</t>
  </si>
  <si>
    <t>Sequencia_Correta</t>
  </si>
  <si>
    <t>Status _Linha</t>
  </si>
  <si>
    <t>Tipo_Erro</t>
  </si>
  <si>
    <t>COMPLETA</t>
  </si>
  <si>
    <t>Preços_Corrigidos</t>
  </si>
  <si>
    <t>Status_Final</t>
  </si>
  <si>
    <t>Status_Dados</t>
  </si>
  <si>
    <t>OK</t>
  </si>
  <si>
    <t>Novo_ID</t>
  </si>
  <si>
    <t>Valor_Total</t>
  </si>
  <si>
    <t>VALOR TOTAL</t>
  </si>
  <si>
    <t>QUANT. MÉDIA DE VENDA</t>
  </si>
  <si>
    <t>TICKET MÉDIO</t>
  </si>
  <si>
    <t>QUANT. TOTAL VENDIDA</t>
  </si>
  <si>
    <t>Rótulos de Linha</t>
  </si>
  <si>
    <t>Total Geral</t>
  </si>
  <si>
    <t>Soma de Valor_Total</t>
  </si>
  <si>
    <t>Soma de Quantidade</t>
  </si>
  <si>
    <t>KPIs</t>
  </si>
  <si>
    <t>Gráficos</t>
  </si>
  <si>
    <t>Tabelas dinâmicas</t>
  </si>
  <si>
    <t>% de registros OK (qualidade dos dados)</t>
  </si>
  <si>
    <t>Total de registros com ERRO</t>
  </si>
  <si>
    <t>% Registros com ERRO</t>
  </si>
  <si>
    <t>Contagem por tipo de erro</t>
  </si>
  <si>
    <t>Preço vazio</t>
  </si>
  <si>
    <t>Produto vazio</t>
  </si>
  <si>
    <t>Cidade vazia</t>
  </si>
  <si>
    <t>Quantidade negativa</t>
  </si>
  <si>
    <t>% por tipo de erro</t>
  </si>
  <si>
    <t>Quantidade vazia</t>
  </si>
  <si>
    <t>ERRO</t>
  </si>
  <si>
    <t>Contagem de Status_Final</t>
  </si>
  <si>
    <t>Erro_PRECO_VAZIA</t>
  </si>
  <si>
    <t>Erro_PRODUTO_VAZIA</t>
  </si>
  <si>
    <t>Erro_QUANTIDADE_NEGATIVA</t>
  </si>
  <si>
    <t>Erro_QUANTIDADE_VAZIA</t>
  </si>
  <si>
    <t>Erro_CIDADE_VAZIA</t>
  </si>
  <si>
    <t>Erro_CLIENTE_VAZIO</t>
  </si>
  <si>
    <t>Soma de quantidade</t>
  </si>
  <si>
    <t>Soma de % por tipo de erro</t>
  </si>
  <si>
    <t>Tipo de Erro</t>
  </si>
  <si>
    <t>Proporção de Registros “OK” vs “Erro”</t>
  </si>
  <si>
    <t>Contagem por tipo de erro (fórmulas utilizadas)</t>
  </si>
  <si>
    <t>Vendas por produto - Top 5</t>
  </si>
  <si>
    <t>Quantidade total de produtos vendidos</t>
  </si>
  <si>
    <t>Faturamento por cidade</t>
  </si>
  <si>
    <t>Faturamento por clientes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</si>
</sst>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7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0" xfId="1" applyNumberFormat="1" applyFont="1"/>
    <xf numFmtId="44" fontId="0" fillId="0" borderId="0" xfId="1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44" fontId="0" fillId="0" borderId="0" xfId="0" applyNumberFormat="1"/>
    <xf numFmtId="0" fontId="4" fillId="0" borderId="0" xfId="0" applyFont="1"/>
    <xf numFmtId="44" fontId="4" fillId="0" borderId="0" xfId="0" applyNumberFormat="1" applyFont="1"/>
    <xf numFmtId="2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/>
    <xf numFmtId="9" fontId="0" fillId="0" borderId="0" xfId="2" applyFon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0" fontId="6" fillId="0" borderId="0" xfId="0" applyFont="1"/>
    <xf numFmtId="1" fontId="0" fillId="0" borderId="0" xfId="0" applyNumberFormat="1"/>
    <xf numFmtId="9" fontId="7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[Materiais_de_Construcao.xlsx]Dados_Limpos!Tabela dinâmica1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produto - 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Dados_Limpos!$J$23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Dados_Limpos!$I$24:$I$28</c:f>
              <c:strCache>
                <c:ptCount val="5"/>
                <c:pt idx="0">
                  <c:v>Areia 20kg</c:v>
                </c:pt>
                <c:pt idx="1">
                  <c:v>Cimento 50kg</c:v>
                </c:pt>
                <c:pt idx="2">
                  <c:v>Tinta 18L</c:v>
                </c:pt>
                <c:pt idx="3">
                  <c:v>Metais</c:v>
                </c:pt>
                <c:pt idx="4">
                  <c:v>Canos PVC</c:v>
                </c:pt>
              </c:strCache>
            </c:strRef>
          </c:cat>
          <c:val>
            <c:numRef>
              <c:f>Dados_Limpos!$J$24:$J$28</c:f>
              <c:numCache>
                <c:formatCode>_("R$"* #,##0.00_);_("R$"* \(#,##0.00\);_("R$"* "-"??_);_(@_)</c:formatCode>
                <c:ptCount val="5"/>
                <c:pt idx="0">
                  <c:v>12210.29</c:v>
                </c:pt>
                <c:pt idx="1">
                  <c:v>7561.72</c:v>
                </c:pt>
                <c:pt idx="2">
                  <c:v>5907.4</c:v>
                </c:pt>
                <c:pt idx="3">
                  <c:v>5763.55</c:v>
                </c:pt>
                <c:pt idx="4">
                  <c:v>4827.3999999999996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F-4E93-8B67-1F2C581906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666832"/>
        <c:axId val="138667312"/>
      </c:barChart>
      <c:catAx>
        <c:axId val="1386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67312"/>
        <c:crosses val="autoZero"/>
        <c:auto val="1"/>
        <c:lblAlgn val="ctr"/>
        <c:lblOffset val="100"/>
        <c:noMultiLvlLbl val="0"/>
      </c:catAx>
      <c:valAx>
        <c:axId val="1386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[Materiais_de_Construcao.xlsx]Dados_Limpos!Tabela dinâmica2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total de produtos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Dados_Limpos!$J$32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Dados_Limpos!$I$33:$I$39</c:f>
              <c:strCache>
                <c:ptCount val="7"/>
                <c:pt idx="0">
                  <c:v>Areia 20kg</c:v>
                </c:pt>
                <c:pt idx="1">
                  <c:v>Cimento 50kg</c:v>
                </c:pt>
                <c:pt idx="2">
                  <c:v>Metais</c:v>
                </c:pt>
                <c:pt idx="3">
                  <c:v>Tinta 18L</c:v>
                </c:pt>
                <c:pt idx="4">
                  <c:v>Canos PVC</c:v>
                </c:pt>
                <c:pt idx="5">
                  <c:v>Cal Hidratada</c:v>
                </c:pt>
                <c:pt idx="6">
                  <c:v>Brita 30kg</c:v>
                </c:pt>
              </c:strCache>
            </c:strRef>
          </c:cat>
          <c:val>
            <c:numRef>
              <c:f>Dados_Limpos!$J$33:$J$39</c:f>
              <c:numCache>
                <c:formatCode>General</c:formatCode>
                <c:ptCount val="7"/>
                <c:pt idx="0">
                  <c:v>55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14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59-4922-B72E-E045075A9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851408"/>
        <c:axId val="657853808"/>
      </c:barChart>
      <c:catAx>
        <c:axId val="65785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853808"/>
        <c:crosses val="autoZero"/>
        <c:auto val="1"/>
        <c:lblAlgn val="ctr"/>
        <c:lblOffset val="100"/>
        <c:noMultiLvlLbl val="0"/>
      </c:catAx>
      <c:valAx>
        <c:axId val="65785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85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[Materiais_de_Construcao.xlsx]Dados_Limpos!Tabela dinâmica4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cidade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Dados_Limpos!$J$43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29-4BB0-BE71-F1CF5C8A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29-4BB0-BE71-F1CF5C8A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729-4BB0-BE71-F1CF5C8A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729-4BB0-BE71-F1CF5C8A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729-4BB0-BE71-F1CF5C8AB634}"/>
              </c:ext>
            </c:extLst>
          </c:dPt>
          <c:cat>
            <c:strRef>
              <c:f>Dados_Limpos!$I$44:$I$49</c:f>
              <c:strCache>
                <c:ptCount val="5"/>
                <c:pt idx="0">
                  <c:v>Campinas</c:v>
                </c:pt>
                <c:pt idx="1">
                  <c:v>Guarulhos</c:v>
                </c:pt>
                <c:pt idx="2">
                  <c:v>Osasco</c:v>
                </c:pt>
                <c:pt idx="3">
                  <c:v>Santos</c:v>
                </c:pt>
                <c:pt idx="4">
                  <c:v>São Paulo</c:v>
                </c:pt>
              </c:strCache>
            </c:strRef>
          </c:cat>
          <c:val>
            <c:numRef>
              <c:f>Dados_Limpos!$J$44:$J$49</c:f>
              <c:numCache>
                <c:formatCode>_("R$"* #,##0.00_);_("R$"* \(#,##0.00\);_("R$"* "-"??_);_(@_)</c:formatCode>
                <c:ptCount val="5"/>
                <c:pt idx="0">
                  <c:v>2065.6999999999998</c:v>
                </c:pt>
                <c:pt idx="1">
                  <c:v>14453.239999999998</c:v>
                </c:pt>
                <c:pt idx="2">
                  <c:v>11626.019999999999</c:v>
                </c:pt>
                <c:pt idx="3">
                  <c:v>5356.12</c:v>
                </c:pt>
                <c:pt idx="4">
                  <c:v>6924.7800000000007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DD-4155-866D-14524132A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[Materiais_de_Construcao.xlsx]Dados_Limpos!Tabela dinâmica5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Dados_Limpos!$J$53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Dados_Limpos!$I$54:$I$58</c:f>
              <c:strCache>
                <c:ptCount val="4"/>
                <c:pt idx="0">
                  <c:v>Cliente Final</c:v>
                </c:pt>
                <c:pt idx="1">
                  <c:v>Construtora Alfa</c:v>
                </c:pt>
                <c:pt idx="2">
                  <c:v>Construtora Beta</c:v>
                </c:pt>
                <c:pt idx="3">
                  <c:v>Obras Silva</c:v>
                </c:pt>
              </c:strCache>
            </c:strRef>
          </c:cat>
          <c:val>
            <c:numRef>
              <c:f>Dados_Limpos!$J$54:$J$58</c:f>
              <c:numCache>
                <c:formatCode>_("R$"* #,##0.00_);_("R$"* \(#,##0.00\);_("R$"* "-"??_);_(@_)</c:formatCode>
                <c:ptCount val="4"/>
                <c:pt idx="0">
                  <c:v>10221.849999999999</c:v>
                </c:pt>
                <c:pt idx="1">
                  <c:v>6367.7</c:v>
                </c:pt>
                <c:pt idx="2">
                  <c:v>13139.69</c:v>
                </c:pt>
                <c:pt idx="3">
                  <c:v>10696.619999999999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DA-443C-B6AD-0C977D243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12304"/>
        <c:axId val="649312784"/>
      </c:lineChart>
      <c:catAx>
        <c:axId val="64931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312784"/>
        <c:crosses val="autoZero"/>
        <c:auto val="1"/>
        <c:lblAlgn val="ctr"/>
        <c:lblOffset val="100"/>
        <c:noMultiLvlLbl val="0"/>
      </c:catAx>
      <c:valAx>
        <c:axId val="6493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3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[Materiais_de_Construcao.xlsx]Dados_Limpos!Tabela dinâmica5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</a:t>
            </a:r>
            <a:r>
              <a:rPr lang="en-US" baseline="0"/>
              <a:t> por clientes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2"/>
        <c:spPr>
          <a:solidFill>
            <a:schemeClr val="accent4"/>
          </a:solidFill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Dados_Limpos!$J$53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Dados_Limpos!$I$54:$I$58</c:f>
              <c:strCache>
                <c:ptCount val="4"/>
                <c:pt idx="0">
                  <c:v>Cliente Final</c:v>
                </c:pt>
                <c:pt idx="1">
                  <c:v>Construtora Alfa</c:v>
                </c:pt>
                <c:pt idx="2">
                  <c:v>Construtora Beta</c:v>
                </c:pt>
                <c:pt idx="3">
                  <c:v>Obras Silva</c:v>
                </c:pt>
              </c:strCache>
            </c:strRef>
          </c:cat>
          <c:val>
            <c:numRef>
              <c:f>Dados_Limpos!$J$54:$J$58</c:f>
              <c:numCache>
                <c:formatCode>_("R$"* #,##0.00_);_("R$"* \(#,##0.00\);_("R$"* "-"??_);_(@_)</c:formatCode>
                <c:ptCount val="4"/>
                <c:pt idx="0">
                  <c:v>10221.849999999999</c:v>
                </c:pt>
                <c:pt idx="1">
                  <c:v>6367.7</c:v>
                </c:pt>
                <c:pt idx="2">
                  <c:v>13139.69</c:v>
                </c:pt>
                <c:pt idx="3">
                  <c:v>10696.619999999999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9D8-4A1E-9F55-30D937BE2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312304"/>
        <c:axId val="649312784"/>
      </c:lineChart>
      <c:catAx>
        <c:axId val="649312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312784"/>
        <c:crosses val="autoZero"/>
        <c:auto val="1"/>
        <c:lblAlgn val="ctr"/>
        <c:lblOffset val="100"/>
        <c:noMultiLvlLbl val="0"/>
      </c:catAx>
      <c:valAx>
        <c:axId val="64931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Soma dos valores totais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49312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[Materiais_de_Construcao.xlsx]Dados_Limpos!Tabela dinâmica2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Quantidade total de produtos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Dados_Limpos!$J$32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Dados_Limpos!$I$33:$I$39</c:f>
              <c:strCache>
                <c:ptCount val="7"/>
                <c:pt idx="0">
                  <c:v>Areia 20kg</c:v>
                </c:pt>
                <c:pt idx="1">
                  <c:v>Cimento 50kg</c:v>
                </c:pt>
                <c:pt idx="2">
                  <c:v>Metais</c:v>
                </c:pt>
                <c:pt idx="3">
                  <c:v>Tinta 18L</c:v>
                </c:pt>
                <c:pt idx="4">
                  <c:v>Canos PVC</c:v>
                </c:pt>
                <c:pt idx="5">
                  <c:v>Cal Hidratada</c:v>
                </c:pt>
                <c:pt idx="6">
                  <c:v>Brita 30kg</c:v>
                </c:pt>
              </c:strCache>
            </c:strRef>
          </c:cat>
          <c:val>
            <c:numRef>
              <c:f>Dados_Limpos!$J$33:$J$39</c:f>
              <c:numCache>
                <c:formatCode>General</c:formatCode>
                <c:ptCount val="7"/>
                <c:pt idx="0">
                  <c:v>55</c:v>
                </c:pt>
                <c:pt idx="1">
                  <c:v>27</c:v>
                </c:pt>
                <c:pt idx="2">
                  <c:v>25</c:v>
                </c:pt>
                <c:pt idx="3">
                  <c:v>22</c:v>
                </c:pt>
                <c:pt idx="4">
                  <c:v>14</c:v>
                </c:pt>
                <c:pt idx="5">
                  <c:v>10</c:v>
                </c:pt>
                <c:pt idx="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B-492D-9528-534AD2A548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57851408"/>
        <c:axId val="657853808"/>
      </c:barChart>
      <c:catAx>
        <c:axId val="65785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853808"/>
        <c:crosses val="autoZero"/>
        <c:auto val="1"/>
        <c:lblAlgn val="ctr"/>
        <c:lblOffset val="100"/>
        <c:noMultiLvlLbl val="0"/>
      </c:catAx>
      <c:valAx>
        <c:axId val="65785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5785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[Materiais_de_Construcao.xlsx]Dados_Limpos!Tabela dinâmica1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por produto - Top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Dados_Limpos!$J$23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Dados_Limpos!$I$24:$I$28</c:f>
              <c:strCache>
                <c:ptCount val="5"/>
                <c:pt idx="0">
                  <c:v>Areia 20kg</c:v>
                </c:pt>
                <c:pt idx="1">
                  <c:v>Cimento 50kg</c:v>
                </c:pt>
                <c:pt idx="2">
                  <c:v>Tinta 18L</c:v>
                </c:pt>
                <c:pt idx="3">
                  <c:v>Metais</c:v>
                </c:pt>
                <c:pt idx="4">
                  <c:v>Canos PVC</c:v>
                </c:pt>
              </c:strCache>
            </c:strRef>
          </c:cat>
          <c:val>
            <c:numRef>
              <c:f>Dados_Limpos!$J$24:$J$28</c:f>
              <c:numCache>
                <c:formatCode>_("R$"* #,##0.00_);_("R$"* \(#,##0.00\);_("R$"* "-"??_);_(@_)</c:formatCode>
                <c:ptCount val="5"/>
                <c:pt idx="0">
                  <c:v>12210.29</c:v>
                </c:pt>
                <c:pt idx="1">
                  <c:v>7561.72</c:v>
                </c:pt>
                <c:pt idx="2">
                  <c:v>5907.4</c:v>
                </c:pt>
                <c:pt idx="3">
                  <c:v>5763.55</c:v>
                </c:pt>
                <c:pt idx="4">
                  <c:v>4827.3999999999996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C8-430A-8C09-07CA6E3568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8666832"/>
        <c:axId val="138667312"/>
      </c:barChart>
      <c:catAx>
        <c:axId val="138666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67312"/>
        <c:crosses val="autoZero"/>
        <c:auto val="1"/>
        <c:lblAlgn val="ctr"/>
        <c:lblOffset val="100"/>
        <c:noMultiLvlLbl val="0"/>
      </c:catAx>
      <c:valAx>
        <c:axId val="13866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666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[Materiais_de_Construcao.xlsx]Dados_Limpos!Tabela dinâmica4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Dados_Limpos!$J$43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Dados_Limpos!$I$44:$I$49</c:f>
              <c:strCache>
                <c:ptCount val="5"/>
                <c:pt idx="0">
                  <c:v>Campinas</c:v>
                </c:pt>
                <c:pt idx="1">
                  <c:v>Guarulhos</c:v>
                </c:pt>
                <c:pt idx="2">
                  <c:v>Osasco</c:v>
                </c:pt>
                <c:pt idx="3">
                  <c:v>Santos</c:v>
                </c:pt>
                <c:pt idx="4">
                  <c:v>São Paulo</c:v>
                </c:pt>
              </c:strCache>
            </c:strRef>
          </c:cat>
          <c:val>
            <c:numRef>
              <c:f>Dados_Limpos!$J$44:$J$49</c:f>
              <c:numCache>
                <c:formatCode>_("R$"* #,##0.00_);_("R$"* \(#,##0.00\);_("R$"* "-"??_);_(@_)</c:formatCode>
                <c:ptCount val="5"/>
                <c:pt idx="0">
                  <c:v>2065.6999999999998</c:v>
                </c:pt>
                <c:pt idx="1">
                  <c:v>14453.239999999998</c:v>
                </c:pt>
                <c:pt idx="2">
                  <c:v>11626.019999999999</c:v>
                </c:pt>
                <c:pt idx="3">
                  <c:v>5356.12</c:v>
                </c:pt>
                <c:pt idx="4">
                  <c:v>6924.7800000000007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C3-4FAA-AED5-4798EADCC3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9755872"/>
        <c:axId val="269745312"/>
      </c:lineChart>
      <c:catAx>
        <c:axId val="26975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9745312"/>
        <c:crosses val="autoZero"/>
        <c:auto val="1"/>
        <c:lblAlgn val="ctr"/>
        <c:lblOffset val="100"/>
        <c:noMultiLvlLbl val="0"/>
      </c:catAx>
      <c:valAx>
        <c:axId val="26974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Soma</a:t>
                </a:r>
                <a:r>
                  <a:rPr lang="pt-BR" baseline="0"/>
                  <a:t> dos valores totais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6975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[Materiais_de_Construcao.xlsx]Qualidade_Dados!Tabela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Proporção de Registros “OK” vs “Erro”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Qualidade_Dados!$U$9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CD-46C9-A965-BE4D32E029B3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CD-46C9-A965-BE4D32E029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Qualidade_Dados!$T$10:$T$12</c:f>
              <c:strCache>
                <c:ptCount val="2"/>
                <c:pt idx="0">
                  <c:v>ERRO</c:v>
                </c:pt>
                <c:pt idx="1">
                  <c:v>OK</c:v>
                </c:pt>
              </c:strCache>
            </c:strRef>
          </c:cat>
          <c:val>
            <c:numRef>
              <c:f>Qualidade_Dados!$U$10:$U$12</c:f>
              <c:numCache>
                <c:formatCode>0.0%</c:formatCode>
                <c:ptCount val="2"/>
                <c:pt idx="0">
                  <c:v>0.92500000000000004</c:v>
                </c:pt>
                <c:pt idx="1">
                  <c:v>7.4999999999999997E-2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24-4E97-B53D-23D76D1372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[Materiais_de_Construcao.xlsx]Qualidade_Dados!Tabela dinâmica5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por tipo de erro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tx1"/>
            </a:solidFill>
            <a:round/>
          </a:ln>
          <a:effectLst/>
        </c:spPr>
        <c:marker>
          <c:symbol val="circle"/>
          <c:size val="5"/>
          <c:spPr>
            <a:solidFill>
              <a:schemeClr val="tx1"/>
            </a:solidFill>
            <a:ln w="9525">
              <a:solidFill>
                <a:schemeClr val="tx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FFC000"/>
            </a:solidFill>
            <a:round/>
          </a:ln>
          <a:effectLst/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rgbClr val="FFC00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Qualidade_Dados!$AD$16</c:f>
              <c:strCache>
                <c:ptCount val="1"/>
                <c:pt idx="0">
                  <c:v>Soma de quantidade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Qualidade_Dados!$AC$17:$AC$21</c:f>
              <c:strCache>
                <c:ptCount val="5"/>
                <c:pt idx="0">
                  <c:v>Cidade vazia</c:v>
                </c:pt>
                <c:pt idx="1">
                  <c:v>Preço vazio</c:v>
                </c:pt>
                <c:pt idx="2">
                  <c:v>Produto vazio</c:v>
                </c:pt>
                <c:pt idx="3">
                  <c:v>Quantidade negativa</c:v>
                </c:pt>
                <c:pt idx="4">
                  <c:v>Quantidade vazia</c:v>
                </c:pt>
              </c:strCache>
            </c:strRef>
          </c:cat>
          <c:val>
            <c:numRef>
              <c:f>Qualidade_Dados!$AD$17:$AD$21</c:f>
              <c:numCache>
                <c:formatCode>General</c:formatCode>
                <c:ptCount val="5"/>
                <c:pt idx="0">
                  <c:v>33</c:v>
                </c:pt>
                <c:pt idx="1">
                  <c:v>108</c:v>
                </c:pt>
                <c:pt idx="2">
                  <c:v>28</c:v>
                </c:pt>
                <c:pt idx="3">
                  <c:v>48</c:v>
                </c:pt>
                <c:pt idx="4">
                  <c:v>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14-42D8-8582-78F07851BF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5774464"/>
        <c:axId val="515786464"/>
      </c:lineChart>
      <c:lineChart>
        <c:grouping val="standard"/>
        <c:varyColors val="0"/>
        <c:ser>
          <c:idx val="1"/>
          <c:order val="1"/>
          <c:tx>
            <c:strRef>
              <c:f>Qualidade_Dados!$AE$16</c:f>
              <c:strCache>
                <c:ptCount val="1"/>
                <c:pt idx="0">
                  <c:v>Soma de % por tipo de erro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Qualidade_Dados!$AC$17:$AC$21</c:f>
              <c:strCache>
                <c:ptCount val="5"/>
                <c:pt idx="0">
                  <c:v>Cidade vazia</c:v>
                </c:pt>
                <c:pt idx="1">
                  <c:v>Preço vazio</c:v>
                </c:pt>
                <c:pt idx="2">
                  <c:v>Produto vazio</c:v>
                </c:pt>
                <c:pt idx="3">
                  <c:v>Quantidade negativa</c:v>
                </c:pt>
                <c:pt idx="4">
                  <c:v>Quantidade vazia</c:v>
                </c:pt>
              </c:strCache>
            </c:strRef>
          </c:cat>
          <c:val>
            <c:numRef>
              <c:f>Qualidade_Dados!$AE$17:$AE$21</c:f>
              <c:numCache>
                <c:formatCode>0%</c:formatCode>
                <c:ptCount val="5"/>
                <c:pt idx="0">
                  <c:v>0.16500000000000001</c:v>
                </c:pt>
                <c:pt idx="1">
                  <c:v>0.54</c:v>
                </c:pt>
                <c:pt idx="2">
                  <c:v>0.14000000000000001</c:v>
                </c:pt>
                <c:pt idx="3">
                  <c:v>0.16</c:v>
                </c:pt>
                <c:pt idx="4">
                  <c:v>0.21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914-42D8-8582-78F07851BF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5781664"/>
        <c:axId val="515771584"/>
      </c:lineChart>
      <c:catAx>
        <c:axId val="5157744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Tipos de erros</a:t>
                </a:r>
                <a:r>
                  <a:rPr lang="pt-BR" baseline="0"/>
                  <a:t> no banco de dados original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5786464"/>
        <c:crosses val="autoZero"/>
        <c:auto val="1"/>
        <c:lblAlgn val="ctr"/>
        <c:lblOffset val="100"/>
        <c:noMultiLvlLbl val="0"/>
      </c:catAx>
      <c:valAx>
        <c:axId val="515786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Quantidade</a:t>
                </a:r>
                <a:r>
                  <a:rPr lang="pt-BR" baseline="0"/>
                  <a:t> Total / Soma de quantidade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5774464"/>
        <c:crosses val="autoZero"/>
        <c:crossBetween val="between"/>
      </c:valAx>
      <c:valAx>
        <c:axId val="515771584"/>
        <c:scaling>
          <c:orientation val="minMax"/>
          <c:max val="0.9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Soma de % por tipo de erro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15781664"/>
        <c:crosses val="max"/>
        <c:crossBetween val="between"/>
      </c:valAx>
      <c:catAx>
        <c:axId val="51578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7715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1111785</xdr:colOff>
      <xdr:row>21</xdr:row>
      <xdr:rowOff>18634</xdr:rowOff>
    </xdr:from>
    <xdr:to>
      <xdr:col>7</xdr:col>
      <xdr:colOff>181697</xdr:colOff>
      <xdr:row>31</xdr:row>
      <xdr:rowOff>21755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004BE63-4196-FCFD-3AB3-6CCF57FCE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1135577</xdr:colOff>
      <xdr:row>31</xdr:row>
      <xdr:rowOff>234043</xdr:rowOff>
    </xdr:from>
    <xdr:to>
      <xdr:col>7</xdr:col>
      <xdr:colOff>217714</xdr:colOff>
      <xdr:row>42</xdr:row>
      <xdr:rowOff>75830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2097868-8BE2-0A4B-1A77-97BB9EEBF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1136195</xdr:colOff>
      <xdr:row>42</xdr:row>
      <xdr:rowOff>274865</xdr:rowOff>
    </xdr:from>
    <xdr:to>
      <xdr:col>6</xdr:col>
      <xdr:colOff>387803</xdr:colOff>
      <xdr:row>52</xdr:row>
      <xdr:rowOff>24493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78CE2A8-FC87-7B10-316A-AA30165E8B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1095373</xdr:colOff>
      <xdr:row>52</xdr:row>
      <xdr:rowOff>234042</xdr:rowOff>
    </xdr:from>
    <xdr:to>
      <xdr:col>7</xdr:col>
      <xdr:colOff>54428</xdr:colOff>
      <xdr:row>62</xdr:row>
      <xdr:rowOff>217714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D32F54-3E24-5C8E-ED03-D05D854A2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881062</xdr:colOff>
      <xdr:row>1</xdr:row>
      <xdr:rowOff>114300</xdr:rowOff>
    </xdr:from>
    <xdr:to>
      <xdr:col>19</xdr:col>
      <xdr:colOff>1321255</xdr:colOff>
      <xdr:row>11</xdr:row>
      <xdr:rowOff>97972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63607BC-4378-456E-BE10-4E360344A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914400</xdr:colOff>
      <xdr:row>1</xdr:row>
      <xdr:rowOff>38100</xdr:rowOff>
    </xdr:from>
    <xdr:to>
      <xdr:col>14</xdr:col>
      <xdr:colOff>619123</xdr:colOff>
      <xdr:row>11</xdr:row>
      <xdr:rowOff>184687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FC1F70E-1EA3-4A03-95CE-AAF87EE2A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914401</xdr:colOff>
      <xdr:row>12</xdr:row>
      <xdr:rowOff>228600</xdr:rowOff>
    </xdr:from>
    <xdr:to>
      <xdr:col>14</xdr:col>
      <xdr:colOff>666749</xdr:colOff>
      <xdr:row>22</xdr:row>
      <xdr:rowOff>231721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66DAF57-F905-4E9F-8C60-135147F04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917862</xdr:colOff>
      <xdr:row>12</xdr:row>
      <xdr:rowOff>232063</xdr:rowOff>
    </xdr:from>
    <xdr:to>
      <xdr:col>19</xdr:col>
      <xdr:colOff>1357312</xdr:colOff>
      <xdr:row>21</xdr:row>
      <xdr:rowOff>169719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B1F6BD4D-9043-330A-6AF9-DECACEF3D4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894698</xdr:colOff>
      <xdr:row>47</xdr:row>
      <xdr:rowOff>38434</xdr:rowOff>
    </xdr:from>
    <xdr:to>
      <xdr:col>29</xdr:col>
      <xdr:colOff>615729</xdr:colOff>
      <xdr:row>64</xdr:row>
      <xdr:rowOff>173182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8CA331D-D136-8958-8772-69A1CFE32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</xdr:colOff>
      <xdr:row>25</xdr:row>
      <xdr:rowOff>152400</xdr:rowOff>
    </xdr:from>
    <xdr:to>
      <xdr:col>29</xdr:col>
      <xdr:colOff>640773</xdr:colOff>
      <xdr:row>45</xdr:row>
      <xdr:rowOff>138546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71CE73F2-4FFB-96FD-0A59-4F349393BB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y" refreshedDate="45980.864627430557" createdVersion="8" refreshedVersion="8" minRefreshableVersion="3" recordCount="200" xr:uid="{D0AB97C9-886E-42AC-9A46-39A62F46693F}">
  <cacheSource type="worksheet">
    <worksheetSource name="tbl_vendas564"/>
  </cacheSource>
  <cacheFields count="18">
    <cacheField name="Sequencia_Correta" numFmtId="0">
      <sharedItems containsSemiMixedTypes="0" containsString="0" containsNumber="1" containsInteger="1" minValue="0" maxValue="199"/>
    </cacheField>
    <cacheField name="ID_Venda" numFmtId="0">
      <sharedItems containsSemiMixedTypes="0" containsString="0" containsNumber="1" containsInteger="1" minValue="0" maxValue="199"/>
    </cacheField>
    <cacheField name="Status_Dados" numFmtId="0">
      <sharedItems/>
    </cacheField>
    <cacheField name="Status_Final" numFmtId="0">
      <sharedItems count="2">
        <s v="ERRO"/>
        <s v="OK"/>
      </sharedItems>
    </cacheField>
    <cacheField name="Tipo_Erro" numFmtId="0">
      <sharedItems/>
    </cacheField>
    <cacheField name="Erro_PRECO_VAZIA" numFmtId="0">
      <sharedItems containsSemiMixedTypes="0" containsString="0" containsNumber="1" containsInteger="1" minValue="0" maxValue="1"/>
    </cacheField>
    <cacheField name="Erro_PRODUTO_VAZIA" numFmtId="0">
      <sharedItems containsSemiMixedTypes="0" containsString="0" containsNumber="1" containsInteger="1" minValue="0" maxValue="1"/>
    </cacheField>
    <cacheField name="Erro_CLIENTE_VAZIO" numFmtId="0">
      <sharedItems containsSemiMixedTypes="0" containsString="0" containsNumber="1" containsInteger="1" minValue="0" maxValue="1"/>
    </cacheField>
    <cacheField name="Erro_QUANTIDADE_NEGATIVA" numFmtId="0">
      <sharedItems containsSemiMixedTypes="0" containsString="0" containsNumber="1" containsInteger="1" minValue="0" maxValue="1"/>
    </cacheField>
    <cacheField name="Erro_QUANTIDADE_VAZIA" numFmtId="0">
      <sharedItems containsSemiMixedTypes="0" containsString="0" containsNumber="1" containsInteger="1" minValue="0" maxValue="1"/>
    </cacheField>
    <cacheField name="Erro_CIDADE_VAZIA" numFmtId="0">
      <sharedItems containsSemiMixedTypes="0" containsString="0" containsNumber="1" containsInteger="1" minValue="0" maxValue="1"/>
    </cacheField>
    <cacheField name="Data" numFmtId="0">
      <sharedItems/>
    </cacheField>
    <cacheField name="Cliente" numFmtId="0">
      <sharedItems containsBlank="1"/>
    </cacheField>
    <cacheField name="Produto" numFmtId="0">
      <sharedItems containsBlank="1"/>
    </cacheField>
    <cacheField name="Quantidade" numFmtId="0">
      <sharedItems containsString="0" containsBlank="1" containsNumber="1" containsInteger="1" minValue="-3" maxValue="20"/>
    </cacheField>
    <cacheField name="Preço_Unitário" numFmtId="0">
      <sharedItems containsBlank="1" containsMixedTypes="1" containsNumber="1" minValue="-10" maxValue="492.13"/>
    </cacheField>
    <cacheField name="Preços_Corrigidos" numFmtId="44">
      <sharedItems containsMixedTypes="1" containsNumber="1" minValue="16.82" maxValue="492.13"/>
    </cacheField>
    <cacheField name="Cida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y" refreshedDate="45980.864627777781" createdVersion="8" refreshedVersion="8" minRefreshableVersion="3" recordCount="15" xr:uid="{E63D75E7-16DD-44DF-AA71-33C09CD94F8B}">
  <cacheSource type="worksheet">
    <worksheetSource name="Tabela2"/>
  </cacheSource>
  <cacheFields count="11">
    <cacheField name="Novo_ID" numFmtId="0">
      <sharedItems containsSemiMixedTypes="0" containsString="0" containsNumber="1" containsInteger="1" minValue="1" maxValue="15"/>
    </cacheField>
    <cacheField name="ID_Venda" numFmtId="0">
      <sharedItems containsSemiMixedTypes="0" containsString="0" containsNumber="1" containsInteger="1" minValue="6" maxValue="180"/>
    </cacheField>
    <cacheField name="Status_Dados" numFmtId="0">
      <sharedItems/>
    </cacheField>
    <cacheField name="Status_Final" numFmtId="0">
      <sharedItems/>
    </cacheField>
    <cacheField name="Data" numFmtId="14">
      <sharedItems containsSemiMixedTypes="0" containsNonDate="0" containsDate="1" containsString="0" minDate="2024-01-12T00:00:00" maxDate="2024-07-16T00:00:00"/>
    </cacheField>
    <cacheField name="Cliente" numFmtId="0">
      <sharedItems count="4">
        <s v="Obras Silva"/>
        <s v="Construtora Alfa"/>
        <s v="Construtora Beta"/>
        <s v="Cliente Final"/>
      </sharedItems>
    </cacheField>
    <cacheField name="Produto" numFmtId="0">
      <sharedItems count="7">
        <s v="Tinta 18L"/>
        <s v="Cal Hidratada"/>
        <s v="Areia 20kg"/>
        <s v="Cimento 50kg"/>
        <s v="Brita 30kg"/>
        <s v="Canos PVC"/>
        <s v="Metais"/>
      </sharedItems>
    </cacheField>
    <cacheField name="Quantidade" numFmtId="0">
      <sharedItems containsSemiMixedTypes="0" containsString="0" containsNumber="1" containsInteger="1" minValue="3" maxValue="17"/>
    </cacheField>
    <cacheField name="Preço_Unitário" numFmtId="44">
      <sharedItems containsSemiMixedTypes="0" containsString="0" containsNumber="1" minValue="30" maxValue="427.16"/>
    </cacheField>
    <cacheField name="Valor_Total" numFmtId="44">
      <sharedItems containsSemiMixedTypes="0" containsString="0" containsNumber="1" minValue="300" maxValue="7261.72"/>
    </cacheField>
    <cacheField name="Cidade" numFmtId="0">
      <sharedItems count="5">
        <s v="Osasco"/>
        <s v="Campinas"/>
        <s v="São Paulo"/>
        <s v="Guarulhos"/>
        <s v="Sant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ky" refreshedDate="45980.864628009258" createdVersion="8" refreshedVersion="8" minRefreshableVersion="3" recordCount="5" xr:uid="{54EED06F-B837-42F1-82D1-CEA5CCE269F5}">
  <cacheSource type="worksheet">
    <worksheetSource name="Tabela3"/>
  </cacheSource>
  <cacheFields count="3">
    <cacheField name="Tipo de Erro" numFmtId="0">
      <sharedItems count="5">
        <s v="Preço vazio"/>
        <s v="Produto vazio"/>
        <s v="Cidade vazia"/>
        <s v="Quantidade negativa"/>
        <s v="Quantidade vazia"/>
      </sharedItems>
    </cacheField>
    <cacheField name="Quantidade" numFmtId="0">
      <sharedItems containsSemiMixedTypes="0" containsString="0" containsNumber="1" containsInteger="1" minValue="28" maxValue="108"/>
    </cacheField>
    <cacheField name="% por tipo de erro" numFmtId="9">
      <sharedItems containsSemiMixedTypes="0" containsString="0" containsNumber="1" minValue="0.14000000000000001" maxValue="0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0"/>
    <n v="0"/>
    <s v="INCOMPLETA"/>
    <x v="0"/>
    <s v=""/>
    <n v="0"/>
    <n v="0"/>
    <n v="0"/>
    <n v="0"/>
    <n v="0"/>
    <n v="0"/>
    <s v="2024-01-07"/>
    <s v="Obras Silva"/>
    <s v="Cal Hidratada"/>
    <m/>
    <n v="370.87"/>
    <n v="370.87"/>
    <s v="Osasco"/>
  </r>
  <r>
    <n v="1"/>
    <n v="1"/>
    <s v="INCOMPLETA"/>
    <x v="0"/>
    <s v="PRECO_VAZIA"/>
    <n v="1"/>
    <n v="0"/>
    <n v="0"/>
    <n v="0"/>
    <n v="0"/>
    <n v="0"/>
    <s v="2024-01-08"/>
    <s v="Construtora Alfa"/>
    <s v="Cal Hidratada"/>
    <n v="8"/>
    <n v="-10"/>
    <s v=""/>
    <s v="Campinas"/>
  </r>
  <r>
    <n v="2"/>
    <n v="2"/>
    <s v="INCOMPLETA"/>
    <x v="0"/>
    <s v="PRECO_VAZIA"/>
    <n v="1"/>
    <n v="0"/>
    <n v="0"/>
    <n v="0"/>
    <n v="0"/>
    <n v="0"/>
    <s v="2024-03-12"/>
    <s v="Construtora Alfa"/>
    <s v="Brita 30kg"/>
    <n v="10"/>
    <m/>
    <s v=""/>
    <s v="Guarulhos"/>
  </r>
  <r>
    <n v="3"/>
    <n v="3"/>
    <s v="INCOMPLETA"/>
    <x v="0"/>
    <s v="PRECO_VAZIA"/>
    <n v="1"/>
    <n v="0"/>
    <n v="0"/>
    <n v="0"/>
    <n v="0"/>
    <n v="0"/>
    <s v="2024-04-07"/>
    <s v="Construtora Alfa"/>
    <s v="Tinta 18L"/>
    <n v="10"/>
    <n v="-10"/>
    <s v=""/>
    <s v="Osasco"/>
  </r>
  <r>
    <n v="4"/>
    <n v="4"/>
    <s v="INCOMPLETA"/>
    <x v="0"/>
    <s v="PRODUTO_VAZIA"/>
    <n v="0"/>
    <n v="1"/>
    <n v="0"/>
    <n v="0"/>
    <n v="0"/>
    <n v="0"/>
    <s v="2024-04-06"/>
    <s v="Construtora Alfa"/>
    <m/>
    <n v="10"/>
    <n v="292.89999999999998"/>
    <n v="292.89999999999998"/>
    <s v="São Paulo"/>
  </r>
  <r>
    <n v="5"/>
    <n v="5"/>
    <s v="INCOMPLETA"/>
    <x v="0"/>
    <s v="PRECO_VAZIA; CIDADE_VAZIA"/>
    <n v="1"/>
    <n v="0"/>
    <n v="0"/>
    <n v="0"/>
    <n v="0"/>
    <n v="1"/>
    <s v="2024-07-16"/>
    <s v="Obras Silva"/>
    <s v="Areia 20kg"/>
    <n v="8"/>
    <n v="-10"/>
    <s v=""/>
    <m/>
  </r>
  <r>
    <n v="6"/>
    <n v="6"/>
    <s v="COMPLETA"/>
    <x v="1"/>
    <s v=""/>
    <n v="0"/>
    <n v="0"/>
    <n v="0"/>
    <n v="0"/>
    <n v="0"/>
    <n v="0"/>
    <s v="2024-02-11"/>
    <s v="Obras Silva"/>
    <s v="Tinta 18L"/>
    <n v="10"/>
    <n v="353.89"/>
    <n v="353.89"/>
    <s v="Osasco"/>
  </r>
  <r>
    <n v="7"/>
    <n v="7"/>
    <s v="INCOMPLETA"/>
    <x v="0"/>
    <s v="QUANTIDADE_NEGATIVA; PRECO_VAZIA; CIDADE_VAZIA"/>
    <n v="1"/>
    <n v="0"/>
    <n v="0"/>
    <n v="1"/>
    <n v="0"/>
    <n v="1"/>
    <s v="2024-05-16"/>
    <s v="Construtora Beta"/>
    <s v="Brita 30kg"/>
    <n v="-3"/>
    <m/>
    <s v=""/>
    <m/>
  </r>
  <r>
    <n v="8"/>
    <n v="8"/>
    <s v="COMPLETA"/>
    <x v="1"/>
    <s v=""/>
    <n v="0"/>
    <n v="0"/>
    <n v="0"/>
    <n v="0"/>
    <n v="0"/>
    <n v="0"/>
    <s v="2024-07-15"/>
    <s v="Construtora Alfa"/>
    <s v="Cal Hidratada"/>
    <n v="10"/>
    <n v="206.57"/>
    <n v="206.57"/>
    <s v="Campinas"/>
  </r>
  <r>
    <n v="9"/>
    <n v="8"/>
    <s v="INCOMPLETA"/>
    <x v="0"/>
    <s v="PRECO_VAZIA; PRODUTO_VAZIA"/>
    <n v="1"/>
    <n v="1"/>
    <n v="0"/>
    <n v="0"/>
    <n v="0"/>
    <n v="0"/>
    <s v="2024-03-25"/>
    <s v="Construtora Alfa"/>
    <m/>
    <n v="10"/>
    <m/>
    <s v=""/>
    <s v="Osasco"/>
  </r>
  <r>
    <n v="10"/>
    <n v="9"/>
    <s v="INCOMPLETA"/>
    <x v="0"/>
    <s v="QUANTIDADE_NEGATIVA; PRECO_VAZIA"/>
    <n v="1"/>
    <n v="0"/>
    <n v="0"/>
    <n v="1"/>
    <n v="0"/>
    <n v="0"/>
    <s v="2024-05-25"/>
    <s v="Obras Silva"/>
    <s v="Cal Hidratada"/>
    <n v="-3"/>
    <n v="-10"/>
    <s v=""/>
    <s v="Campinas"/>
  </r>
  <r>
    <n v="11"/>
    <n v="10"/>
    <s v="INCOMPLETA"/>
    <x v="0"/>
    <s v="QUANTIDADE_VAZIA; QUANTIDADE_NEGATIVA; PRECO_VAZIA; CLIENTE_VAZIA; PRODUTO_VAZIA"/>
    <n v="1"/>
    <n v="1"/>
    <n v="1"/>
    <n v="1"/>
    <n v="1"/>
    <n v="0"/>
    <s v="2024-03-04"/>
    <m/>
    <m/>
    <n v="-3"/>
    <n v="-10"/>
    <s v=""/>
    <s v="Guarulhos"/>
  </r>
  <r>
    <n v="12"/>
    <n v="11"/>
    <s v="INCOMPLETA"/>
    <x v="0"/>
    <s v="QUANTIDADE_VAZIA; PRECO_VAZIA; CLIENTE_VAZIA; CIDADE_VAZIA"/>
    <n v="1"/>
    <n v="0"/>
    <n v="1"/>
    <n v="0"/>
    <n v="1"/>
    <n v="1"/>
    <s v="2024-02-05"/>
    <m/>
    <s v="Canos PVC"/>
    <n v="3"/>
    <m/>
    <s v=""/>
    <m/>
  </r>
  <r>
    <n v="13"/>
    <n v="12"/>
    <s v="INCOMPLETA"/>
    <x v="0"/>
    <s v="QUANTIDADE_NEGATIVA; PRECO_VAZIA"/>
    <n v="1"/>
    <n v="0"/>
    <n v="0"/>
    <n v="1"/>
    <n v="0"/>
    <n v="0"/>
    <s v="2024-06-23"/>
    <s v="Cliente Final"/>
    <s v="Areia 20kg"/>
    <n v="-3"/>
    <n v="-10"/>
    <s v=""/>
    <s v="Osasco"/>
  </r>
  <r>
    <n v="14"/>
    <n v="13"/>
    <s v="COMPLETA"/>
    <x v="1"/>
    <s v=""/>
    <n v="0"/>
    <n v="0"/>
    <n v="0"/>
    <n v="0"/>
    <n v="0"/>
    <n v="0"/>
    <s v="2024-05-21"/>
    <s v="Construtora Alfa"/>
    <s v="Areia 20kg"/>
    <n v="10"/>
    <n v="30"/>
    <n v="30"/>
    <s v="São Paulo"/>
  </r>
  <r>
    <n v="15"/>
    <n v="14"/>
    <s v="INCOMPLETA"/>
    <x v="0"/>
    <s v="CIDADE_VAZIA"/>
    <n v="0"/>
    <n v="0"/>
    <n v="0"/>
    <n v="0"/>
    <n v="0"/>
    <n v="1"/>
    <s v="2024-02-10"/>
    <s v="Cliente Final"/>
    <s v="Cimento 50kg"/>
    <m/>
    <n v="258.76"/>
    <n v="258.76"/>
    <m/>
  </r>
  <r>
    <n v="16"/>
    <n v="15"/>
    <s v="INCOMPLETA"/>
    <x v="0"/>
    <s v="QUANTIDADE_VAZIA; CLIENTE_VAZIA"/>
    <n v="0"/>
    <n v="0"/>
    <n v="1"/>
    <n v="0"/>
    <n v="1"/>
    <n v="0"/>
    <s v="2024-06-12"/>
    <m/>
    <s v="Cal Hidratada"/>
    <n v="10"/>
    <n v="383.63"/>
    <n v="383.63"/>
    <s v="Osasco"/>
  </r>
  <r>
    <n v="17"/>
    <n v="16"/>
    <s v="INCOMPLETA"/>
    <x v="0"/>
    <s v=""/>
    <n v="0"/>
    <n v="0"/>
    <n v="0"/>
    <n v="0"/>
    <n v="0"/>
    <n v="0"/>
    <s v="2024-01-05"/>
    <s v="Construtora Alfa"/>
    <s v="Tinta 18L"/>
    <m/>
    <n v="38.380000000000003"/>
    <n v="38.380000000000003"/>
    <s v="São Paulo"/>
  </r>
  <r>
    <n v="18"/>
    <n v="17"/>
    <s v="INCOMPLETA"/>
    <x v="0"/>
    <s v="QUANTIDADE_VAZIA; QUANTIDADE_NEGATIVA; PRECO_VAZIA; CLIENTE_VAZIA"/>
    <n v="1"/>
    <n v="0"/>
    <n v="1"/>
    <n v="1"/>
    <n v="1"/>
    <n v="0"/>
    <s v="2024-01-18"/>
    <m/>
    <s v="Brita 30kg"/>
    <n v="-3"/>
    <m/>
    <s v=""/>
    <s v="Guarulhos"/>
  </r>
  <r>
    <n v="19"/>
    <n v="18"/>
    <s v="INCOMPLETA"/>
    <x v="0"/>
    <s v="PRECO_VAZIA; CIDADE_VAZIA"/>
    <n v="1"/>
    <n v="0"/>
    <n v="0"/>
    <n v="0"/>
    <n v="0"/>
    <n v="1"/>
    <s v="2024-06-04"/>
    <s v="Cliente Final"/>
    <s v="Cal Hidratada"/>
    <m/>
    <n v="-10"/>
    <s v=""/>
    <m/>
  </r>
  <r>
    <n v="20"/>
    <n v="19"/>
    <s v="INCOMPLETA"/>
    <x v="0"/>
    <s v="QUANTIDADE_VAZIA; CLIENTE_VAZIA"/>
    <n v="0"/>
    <n v="0"/>
    <n v="1"/>
    <n v="0"/>
    <n v="1"/>
    <n v="0"/>
    <s v="2024-04-22"/>
    <m/>
    <s v="Canos PVC"/>
    <m/>
    <s v="R$ 30"/>
    <s v="R$ 30"/>
    <s v="São Paulo"/>
  </r>
  <r>
    <n v="21"/>
    <n v="19"/>
    <s v="INCOMPLETA"/>
    <x v="0"/>
    <s v="PRECO_VAZIA; PRODUTO_VAZIA"/>
    <n v="1"/>
    <n v="1"/>
    <n v="0"/>
    <n v="0"/>
    <n v="0"/>
    <n v="0"/>
    <s v="2024-06-25"/>
    <s v="Construtora Beta"/>
    <m/>
    <n v="10"/>
    <m/>
    <s v=""/>
    <s v="Santos"/>
  </r>
  <r>
    <n v="22"/>
    <n v="20"/>
    <s v="INCOMPLETA"/>
    <x v="0"/>
    <s v="QUANTIDADE_VAZIA; CLIENTE_VAZIA"/>
    <n v="0"/>
    <n v="0"/>
    <n v="1"/>
    <n v="0"/>
    <n v="1"/>
    <n v="0"/>
    <s v="2024-02-28"/>
    <m/>
    <s v="Cal Hidratada"/>
    <n v="1"/>
    <n v="356.84"/>
    <n v="356.84"/>
    <s v="Campinas"/>
  </r>
  <r>
    <n v="23"/>
    <n v="22"/>
    <s v="INCOMPLETA"/>
    <x v="0"/>
    <s v="QUANTIDADE_VAZIA; QUANTIDADE_NEGATIVA; PRECO_VAZIA; CLIENTE_VAZIA"/>
    <n v="1"/>
    <n v="0"/>
    <n v="1"/>
    <n v="1"/>
    <n v="1"/>
    <n v="0"/>
    <s v="2024-05-26"/>
    <m/>
    <s v="Canos PVC"/>
    <n v="-3"/>
    <m/>
    <s v=""/>
    <s v="São Paulo"/>
  </r>
  <r>
    <n v="24"/>
    <n v="24"/>
    <s v="INCOMPLETA"/>
    <x v="0"/>
    <s v="PRECO_VAZIA"/>
    <n v="1"/>
    <n v="0"/>
    <n v="0"/>
    <n v="0"/>
    <n v="0"/>
    <n v="0"/>
    <s v="2024-03-27"/>
    <s v="Construtora Alfa"/>
    <s v="Cal Hidratada"/>
    <m/>
    <m/>
    <s v=""/>
    <s v="Santos"/>
  </r>
  <r>
    <n v="25"/>
    <n v="25"/>
    <s v="COMPLETA"/>
    <x v="1"/>
    <s v=""/>
    <n v="0"/>
    <n v="0"/>
    <n v="0"/>
    <n v="0"/>
    <n v="0"/>
    <n v="0"/>
    <s v="2024-04-28"/>
    <s v="Construtora Beta"/>
    <s v="Areia 20kg"/>
    <n v="15"/>
    <n v="34.79"/>
    <n v="34.79"/>
    <s v="São Paulo"/>
  </r>
  <r>
    <n v="26"/>
    <n v="26"/>
    <s v="INCOMPLETA"/>
    <x v="0"/>
    <s v="QUANTIDADE_NEGATIVA; PRECO_VAZIA"/>
    <n v="1"/>
    <n v="0"/>
    <n v="0"/>
    <n v="1"/>
    <n v="0"/>
    <n v="0"/>
    <s v="2024-03-01"/>
    <s v="Construtora Beta"/>
    <s v="Metais"/>
    <n v="-3"/>
    <n v="-10"/>
    <s v=""/>
    <s v="São Paulo"/>
  </r>
  <r>
    <n v="27"/>
    <n v="27"/>
    <s v="INCOMPLETA"/>
    <x v="0"/>
    <s v="PRECO_VAZIA"/>
    <n v="1"/>
    <n v="0"/>
    <n v="0"/>
    <n v="0"/>
    <n v="0"/>
    <n v="0"/>
    <s v="2024-01-01"/>
    <s v="Cliente Final"/>
    <s v="Argamassa AC2"/>
    <n v="10"/>
    <n v="-10"/>
    <s v=""/>
    <s v="Campinas"/>
  </r>
  <r>
    <n v="28"/>
    <n v="28"/>
    <s v="INCOMPLETA"/>
    <x v="0"/>
    <s v="PRECO_VAZIA; PRODUTO_VAZIA"/>
    <n v="1"/>
    <n v="1"/>
    <n v="0"/>
    <n v="0"/>
    <n v="0"/>
    <n v="0"/>
    <s v="2024-02-25"/>
    <s v="Construtora Alfa"/>
    <m/>
    <n v="10"/>
    <n v="-10"/>
    <s v=""/>
    <s v="Osasco"/>
  </r>
  <r>
    <n v="29"/>
    <n v="29"/>
    <s v="COMPLETA"/>
    <x v="1"/>
    <s v=""/>
    <n v="0"/>
    <n v="0"/>
    <n v="0"/>
    <n v="0"/>
    <n v="0"/>
    <n v="0"/>
    <s v="2024-05-15"/>
    <s v="Construtora Beta"/>
    <s v="Cimento 50kg"/>
    <n v="17"/>
    <n v="427.16"/>
    <n v="427.16"/>
    <s v="Osasco"/>
  </r>
  <r>
    <n v="30"/>
    <n v="31"/>
    <s v="INCOMPLETA"/>
    <x v="0"/>
    <s v="PRECO_VAZIA"/>
    <n v="1"/>
    <n v="0"/>
    <n v="0"/>
    <n v="0"/>
    <n v="0"/>
    <n v="0"/>
    <s v="2024-05-13"/>
    <s v="Obras Silva"/>
    <s v="Argamassa AC2"/>
    <n v="10"/>
    <n v="-10"/>
    <s v=""/>
    <s v="Campinas"/>
  </r>
  <r>
    <n v="31"/>
    <n v="32"/>
    <s v="COMPLETA"/>
    <x v="1"/>
    <s v=""/>
    <n v="0"/>
    <n v="0"/>
    <n v="0"/>
    <n v="0"/>
    <n v="0"/>
    <n v="0"/>
    <s v="2024-03-17"/>
    <s v="Cliente Final"/>
    <s v="Tinta 18L"/>
    <n v="3"/>
    <n v="234.56"/>
    <n v="234.56"/>
    <s v="São Paulo"/>
  </r>
  <r>
    <n v="32"/>
    <n v="33"/>
    <s v="COMPLETA"/>
    <x v="0"/>
    <s v=""/>
    <n v="0"/>
    <n v="0"/>
    <n v="0"/>
    <n v="0"/>
    <n v="0"/>
    <n v="0"/>
    <s v="2024-05-09"/>
    <s v="Obras Silva"/>
    <s v="Brita 30kg"/>
    <n v="12"/>
    <s v="R$ 30"/>
    <s v="R$ 30"/>
    <s v="Guarulhos"/>
  </r>
  <r>
    <n v="33"/>
    <n v="34"/>
    <s v="INCOMPLETA"/>
    <x v="0"/>
    <s v="PRODUTO_VAZIA"/>
    <n v="0"/>
    <n v="1"/>
    <n v="0"/>
    <n v="0"/>
    <n v="0"/>
    <n v="0"/>
    <s v="2024-05-19"/>
    <s v="Obras Silva"/>
    <m/>
    <n v="10"/>
    <n v="466.56"/>
    <n v="466.56"/>
    <s v="Campinas"/>
  </r>
  <r>
    <n v="34"/>
    <n v="35"/>
    <s v="INCOMPLETA"/>
    <x v="0"/>
    <s v="QUANTIDADE_VAZIA; CLIENTE_VAZIA"/>
    <n v="0"/>
    <n v="0"/>
    <n v="1"/>
    <n v="0"/>
    <n v="1"/>
    <n v="0"/>
    <s v="2024-01-28"/>
    <m/>
    <s v="Brita 30kg"/>
    <n v="10"/>
    <s v="R$ 30"/>
    <s v="R$ 30"/>
    <s v="Campinas"/>
  </r>
  <r>
    <n v="35"/>
    <n v="36"/>
    <s v="INCOMPLETA"/>
    <x v="0"/>
    <s v="QUANTIDADE_VAZIA; PRECO_VAZIA; CLIENTE_VAZIA"/>
    <n v="1"/>
    <n v="0"/>
    <n v="1"/>
    <n v="0"/>
    <n v="1"/>
    <n v="0"/>
    <s v="2024-03-08"/>
    <m/>
    <s v="Canos PVC"/>
    <n v="9"/>
    <n v="-10"/>
    <s v=""/>
    <s v="Guarulhos"/>
  </r>
  <r>
    <n v="36"/>
    <n v="39"/>
    <s v="INCOMPLETA"/>
    <x v="0"/>
    <s v=""/>
    <n v="0"/>
    <n v="0"/>
    <n v="0"/>
    <n v="0"/>
    <n v="0"/>
    <n v="0"/>
    <s v="2024-03-19"/>
    <s v="Obras Silva"/>
    <s v="Cimento 50kg"/>
    <m/>
    <n v="344.21"/>
    <n v="344.21"/>
    <s v="Guarulhos"/>
  </r>
  <r>
    <n v="37"/>
    <n v="40"/>
    <s v="INCOMPLETA"/>
    <x v="0"/>
    <s v="QUANTIDADE_VAZIA; PRECO_VAZIA; CLIENTE_VAZIA"/>
    <n v="1"/>
    <n v="0"/>
    <n v="1"/>
    <n v="0"/>
    <n v="1"/>
    <n v="0"/>
    <s v="2024-04-14"/>
    <m/>
    <s v="Brita 30kg"/>
    <m/>
    <m/>
    <s v=""/>
    <s v="Santos"/>
  </r>
  <r>
    <n v="38"/>
    <n v="42"/>
    <s v="INCOMPLETA"/>
    <x v="0"/>
    <s v="PRECO_VAZIA"/>
    <n v="1"/>
    <n v="0"/>
    <n v="0"/>
    <n v="0"/>
    <n v="0"/>
    <n v="0"/>
    <s v="2024-04-30"/>
    <s v="Construtora Beta"/>
    <s v="Cal Hidratada"/>
    <n v="10"/>
    <m/>
    <s v=""/>
    <s v="Campinas"/>
  </r>
  <r>
    <n v="39"/>
    <n v="44"/>
    <s v="COMPLETA"/>
    <x v="1"/>
    <s v=""/>
    <n v="0"/>
    <n v="0"/>
    <n v="0"/>
    <n v="0"/>
    <n v="0"/>
    <n v="0"/>
    <s v="2024-05-17"/>
    <s v="Obras Silva"/>
    <s v="Cimento 50kg"/>
    <n v="10"/>
    <n v="30"/>
    <n v="30"/>
    <s v="São Paulo"/>
  </r>
  <r>
    <n v="40"/>
    <n v="45"/>
    <s v="INCOMPLETA"/>
    <x v="0"/>
    <s v="PRECO_VAZIA"/>
    <n v="1"/>
    <n v="0"/>
    <n v="0"/>
    <n v="0"/>
    <n v="0"/>
    <n v="0"/>
    <s v="2024-04-21"/>
    <s v="Obras Silva"/>
    <s v="Tinta 18L"/>
    <n v="14"/>
    <m/>
    <s v=""/>
    <s v="Guarulhos"/>
  </r>
  <r>
    <n v="41"/>
    <n v="47"/>
    <s v="INCOMPLETA"/>
    <x v="0"/>
    <s v="QUANTIDADE_NEGATIVA; PRODUTO_VAZIA"/>
    <n v="0"/>
    <n v="1"/>
    <n v="0"/>
    <n v="1"/>
    <n v="0"/>
    <n v="0"/>
    <s v="2024-02-01"/>
    <s v="Obras Silva"/>
    <m/>
    <n v="-3"/>
    <s v="R$ 30"/>
    <s v="R$ 30"/>
    <s v="Osasco"/>
  </r>
  <r>
    <n v="42"/>
    <n v="48"/>
    <s v="COMPLETA"/>
    <x v="1"/>
    <s v=""/>
    <n v="0"/>
    <n v="0"/>
    <n v="0"/>
    <n v="0"/>
    <n v="0"/>
    <n v="0"/>
    <s v="2024-04-17"/>
    <s v="Cliente Final"/>
    <s v="Brita 30kg"/>
    <n v="10"/>
    <n v="208.98"/>
    <n v="208.98"/>
    <s v="Guarulhos"/>
  </r>
  <r>
    <n v="43"/>
    <n v="48"/>
    <s v="INCOMPLETA"/>
    <x v="0"/>
    <s v="PRECO_VAZIA"/>
    <n v="1"/>
    <n v="0"/>
    <n v="0"/>
    <n v="0"/>
    <n v="0"/>
    <n v="0"/>
    <s v="2024-01-22"/>
    <s v="Construtora Beta"/>
    <s v="Metais"/>
    <m/>
    <n v="-10"/>
    <s v=""/>
    <s v="Santos"/>
  </r>
  <r>
    <n v="44"/>
    <n v="49"/>
    <s v="INCOMPLETA"/>
    <x v="0"/>
    <s v="PRECO_VAZIA; CIDADE_VAZIA"/>
    <n v="1"/>
    <n v="0"/>
    <n v="0"/>
    <n v="0"/>
    <n v="0"/>
    <n v="1"/>
    <s v="2024-04-12"/>
    <s v="Obras Silva"/>
    <s v="Argamassa AC2"/>
    <n v="10"/>
    <n v="-10"/>
    <s v=""/>
    <m/>
  </r>
  <r>
    <n v="45"/>
    <n v="49"/>
    <s v="INCOMPLETA"/>
    <x v="0"/>
    <s v="QUANTIDADE_VAZIA; QUANTIDADE_NEGATIVA; PRECO_VAZIA; CLIENTE_VAZIA"/>
    <n v="1"/>
    <n v="0"/>
    <n v="1"/>
    <n v="1"/>
    <n v="1"/>
    <n v="0"/>
    <s v="2024-04-20"/>
    <m/>
    <s v="Tinta 18L"/>
    <n v="-3"/>
    <m/>
    <s v=""/>
    <s v="Osasco"/>
  </r>
  <r>
    <n v="46"/>
    <n v="50"/>
    <s v="INCOMPLETA"/>
    <x v="0"/>
    <s v="PRECO_VAZIA; CIDADE_VAZIA"/>
    <n v="1"/>
    <n v="0"/>
    <n v="0"/>
    <n v="0"/>
    <n v="0"/>
    <n v="1"/>
    <s v="2024-07-07"/>
    <s v="Construtora Beta"/>
    <s v="Areia 20kg"/>
    <n v="10"/>
    <m/>
    <s v=""/>
    <m/>
  </r>
  <r>
    <n v="47"/>
    <n v="51"/>
    <s v="INCOMPLETA"/>
    <x v="0"/>
    <s v=""/>
    <n v="0"/>
    <n v="0"/>
    <n v="0"/>
    <n v="0"/>
    <n v="0"/>
    <n v="0"/>
    <s v="2024-02-20"/>
    <s v="Construtora Beta"/>
    <s v="Cimento 50kg"/>
    <m/>
    <n v="492.13"/>
    <n v="492.13"/>
    <s v="Santos"/>
  </r>
  <r>
    <n v="48"/>
    <n v="52"/>
    <s v="INCOMPLETA"/>
    <x v="0"/>
    <s v="QUANTIDADE_VAZIA; QUANTIDADE_NEGATIVA; PRECO_VAZIA; CLIENTE_VAZIA; CIDADE_VAZIA"/>
    <n v="1"/>
    <n v="0"/>
    <n v="1"/>
    <n v="1"/>
    <n v="1"/>
    <n v="1"/>
    <s v="2024-06-10"/>
    <m/>
    <s v="Cal Hidratada"/>
    <n v="-3"/>
    <m/>
    <s v=""/>
    <m/>
  </r>
  <r>
    <n v="49"/>
    <n v="53"/>
    <s v="INCOMPLETA"/>
    <x v="0"/>
    <s v="PRECO_VAZIA"/>
    <n v="1"/>
    <n v="0"/>
    <n v="0"/>
    <n v="0"/>
    <n v="0"/>
    <n v="0"/>
    <s v="2024-07-11"/>
    <s v="Construtora Alfa"/>
    <s v="Metais"/>
    <m/>
    <n v="-10"/>
    <s v=""/>
    <s v="São Paulo"/>
  </r>
  <r>
    <n v="50"/>
    <n v="54"/>
    <s v="INCOMPLETA"/>
    <x v="0"/>
    <s v="PRECO_VAZIA"/>
    <n v="1"/>
    <n v="0"/>
    <n v="0"/>
    <n v="0"/>
    <n v="0"/>
    <n v="0"/>
    <s v="2024-02-01"/>
    <s v="Cliente Final"/>
    <s v="Brita 30kg"/>
    <n v="10"/>
    <n v="-10"/>
    <s v=""/>
    <s v="Osasco"/>
  </r>
  <r>
    <n v="51"/>
    <n v="54"/>
    <s v="INCOMPLETA"/>
    <x v="0"/>
    <s v="QUANTIDADE_VAZIA; PRECO_VAZIA; CLIENTE_VAZIA"/>
    <n v="1"/>
    <n v="0"/>
    <n v="1"/>
    <n v="0"/>
    <n v="1"/>
    <n v="0"/>
    <s v="2024-06-13"/>
    <m/>
    <s v="Cimento 50kg"/>
    <n v="10"/>
    <m/>
    <s v=""/>
    <s v="Osasco"/>
  </r>
  <r>
    <n v="52"/>
    <n v="55"/>
    <s v="INCOMPLETA"/>
    <x v="0"/>
    <s v="PRECO_VAZIA; PRODUTO_VAZIA"/>
    <n v="1"/>
    <n v="1"/>
    <n v="0"/>
    <n v="0"/>
    <n v="0"/>
    <n v="0"/>
    <s v="2024-05-09"/>
    <s v="Cliente Final"/>
    <m/>
    <m/>
    <n v="-10"/>
    <s v=""/>
    <s v="Santos"/>
  </r>
  <r>
    <n v="53"/>
    <n v="56"/>
    <s v="INCOMPLETA"/>
    <x v="0"/>
    <s v="PRODUTO_VAZIA; CIDADE_VAZIA"/>
    <n v="0"/>
    <n v="1"/>
    <n v="0"/>
    <n v="0"/>
    <n v="0"/>
    <n v="1"/>
    <s v="2024-03-04"/>
    <s v="Obras Silva"/>
    <m/>
    <m/>
    <n v="144.55000000000001"/>
    <n v="144.55000000000001"/>
    <m/>
  </r>
  <r>
    <n v="54"/>
    <n v="56"/>
    <s v="COMPLETA"/>
    <x v="0"/>
    <s v=""/>
    <n v="0"/>
    <n v="0"/>
    <n v="0"/>
    <n v="0"/>
    <n v="0"/>
    <n v="0"/>
    <s v="2024-04-25"/>
    <s v="Obras Silva"/>
    <s v="Cimento 50kg"/>
    <n v="14"/>
    <s v="R$ 30"/>
    <s v="R$ 30"/>
    <s v="Campinas"/>
  </r>
  <r>
    <n v="55"/>
    <n v="57"/>
    <s v="INCOMPLETA"/>
    <x v="0"/>
    <s v="PRECO_VAZIA"/>
    <n v="1"/>
    <n v="0"/>
    <n v="0"/>
    <n v="0"/>
    <n v="0"/>
    <n v="0"/>
    <s v="2024-03-10"/>
    <s v="Obras Silva"/>
    <s v="Tinta 18L"/>
    <n v="18"/>
    <m/>
    <s v=""/>
    <s v="Santos"/>
  </r>
  <r>
    <n v="56"/>
    <n v="58"/>
    <s v="INCOMPLETA"/>
    <x v="0"/>
    <s v="QUANTIDADE_NEGATIVA; PRECO_VAZIA"/>
    <n v="1"/>
    <n v="0"/>
    <n v="0"/>
    <n v="1"/>
    <n v="0"/>
    <n v="0"/>
    <s v="2024-06-29"/>
    <s v="Construtora Beta"/>
    <s v="Areia 20kg"/>
    <n v="-3"/>
    <n v="-10"/>
    <s v=""/>
    <s v="Santos"/>
  </r>
  <r>
    <n v="57"/>
    <n v="60"/>
    <s v="INCOMPLETA"/>
    <x v="0"/>
    <s v="PRECO_VAZIA; CIDADE_VAZIA"/>
    <n v="1"/>
    <n v="0"/>
    <n v="0"/>
    <n v="0"/>
    <n v="0"/>
    <n v="1"/>
    <s v="2024-04-13"/>
    <s v="Construtora Alfa"/>
    <s v="Cal Hidratada"/>
    <n v="19"/>
    <n v="-10"/>
    <s v=""/>
    <m/>
  </r>
  <r>
    <n v="58"/>
    <n v="60"/>
    <s v="INCOMPLETA"/>
    <x v="0"/>
    <s v="QUANTIDADE_VAZIA; CLIENTE_VAZIA; PRODUTO_VAZIA"/>
    <n v="0"/>
    <n v="1"/>
    <n v="1"/>
    <n v="0"/>
    <n v="1"/>
    <n v="0"/>
    <s v="2024-04-17"/>
    <m/>
    <m/>
    <m/>
    <n v="30"/>
    <n v="30"/>
    <s v="Santos"/>
  </r>
  <r>
    <n v="59"/>
    <n v="61"/>
    <s v="COMPLETA"/>
    <x v="0"/>
    <s v="QUANTIDADE_NEGATIVA"/>
    <n v="0"/>
    <n v="0"/>
    <n v="0"/>
    <n v="1"/>
    <n v="0"/>
    <n v="0"/>
    <s v="2024-04-09"/>
    <s v="Obras Silva"/>
    <s v="Metais"/>
    <n v="-3"/>
    <n v="460.58"/>
    <n v="460.58"/>
    <s v="Santos"/>
  </r>
  <r>
    <n v="60"/>
    <n v="62"/>
    <s v="INCOMPLETA"/>
    <x v="0"/>
    <s v="PRECO_VAZIA"/>
    <n v="1"/>
    <n v="0"/>
    <n v="0"/>
    <n v="0"/>
    <n v="0"/>
    <n v="0"/>
    <s v="2024-06-18"/>
    <s v="Construtora Alfa"/>
    <s v="Areia 20kg"/>
    <m/>
    <m/>
    <s v=""/>
    <s v="São Paulo"/>
  </r>
  <r>
    <n v="61"/>
    <n v="63"/>
    <s v="INCOMPLETA"/>
    <x v="0"/>
    <s v="PRECO_VAZIA"/>
    <n v="1"/>
    <n v="0"/>
    <n v="0"/>
    <n v="0"/>
    <n v="0"/>
    <n v="0"/>
    <s v="2024-03-24"/>
    <s v="Construtora Beta"/>
    <s v="Canos PVC"/>
    <n v="10"/>
    <n v="-10"/>
    <s v=""/>
    <s v="Guarulhos"/>
  </r>
  <r>
    <n v="62"/>
    <n v="64"/>
    <s v="COMPLETA"/>
    <x v="1"/>
    <s v=""/>
    <n v="0"/>
    <n v="0"/>
    <n v="0"/>
    <n v="0"/>
    <n v="0"/>
    <n v="0"/>
    <s v="2024-04-17"/>
    <s v="Obras Silva"/>
    <s v="Areia 20kg"/>
    <n v="16"/>
    <n v="377.02"/>
    <n v="377.02"/>
    <s v="Guarulhos"/>
  </r>
  <r>
    <n v="63"/>
    <n v="65"/>
    <s v="INCOMPLETA"/>
    <x v="0"/>
    <s v="PRECO_VAZIA"/>
    <n v="1"/>
    <n v="0"/>
    <n v="0"/>
    <n v="0"/>
    <n v="0"/>
    <n v="0"/>
    <s v="2024-01-18"/>
    <s v="Construtora Alfa"/>
    <s v="Cimento 50kg"/>
    <m/>
    <m/>
    <s v=""/>
    <s v="Campinas"/>
  </r>
  <r>
    <n v="64"/>
    <n v="66"/>
    <s v="INCOMPLETA"/>
    <x v="0"/>
    <s v="PRECO_VAZIA"/>
    <n v="1"/>
    <n v="0"/>
    <n v="0"/>
    <n v="0"/>
    <n v="0"/>
    <n v="0"/>
    <s v="2024-06-20"/>
    <s v="Construtora Alfa"/>
    <s v="Cal Hidratada"/>
    <n v="10"/>
    <m/>
    <s v=""/>
    <s v="Osasco"/>
  </r>
  <r>
    <n v="65"/>
    <n v="67"/>
    <s v="COMPLETA"/>
    <x v="0"/>
    <s v=""/>
    <n v="0"/>
    <n v="0"/>
    <n v="0"/>
    <n v="0"/>
    <n v="0"/>
    <n v="0"/>
    <s v="2024-07-10"/>
    <s v="Construtora Alfa"/>
    <s v="Brita 30kg"/>
    <n v="10"/>
    <s v="R$ 30"/>
    <s v="R$ 30"/>
    <s v="Osasco"/>
  </r>
  <r>
    <n v="66"/>
    <n v="68"/>
    <s v="INCOMPLETA"/>
    <x v="0"/>
    <s v="CIDADE_VAZIA"/>
    <n v="0"/>
    <n v="0"/>
    <n v="0"/>
    <n v="0"/>
    <n v="0"/>
    <n v="1"/>
    <s v="2024-04-06"/>
    <s v="Cliente Final"/>
    <s v="Cal Hidratada"/>
    <m/>
    <s v="R$ 30"/>
    <s v="R$ 30"/>
    <m/>
  </r>
  <r>
    <n v="67"/>
    <n v="69"/>
    <s v="INCOMPLETA"/>
    <x v="0"/>
    <s v="QUANTIDADE_VAZIA; QUANTIDADE_NEGATIVA; CLIENTE_VAZIA"/>
    <n v="0"/>
    <n v="0"/>
    <n v="1"/>
    <n v="1"/>
    <n v="1"/>
    <n v="0"/>
    <s v="2024-01-31"/>
    <m/>
    <s v="Cimento 50kg"/>
    <n v="-3"/>
    <n v="334.15"/>
    <n v="334.15"/>
    <s v="Osasco"/>
  </r>
  <r>
    <n v="68"/>
    <n v="70"/>
    <s v="INCOMPLETA"/>
    <x v="0"/>
    <s v="QUANTIDADE_NEGATIVA; PRECO_VAZIA; CIDADE_VAZIA"/>
    <n v="1"/>
    <n v="0"/>
    <n v="0"/>
    <n v="1"/>
    <n v="0"/>
    <n v="1"/>
    <s v="2024-01-04"/>
    <s v="Cliente Final"/>
    <s v="Canos PVC"/>
    <n v="-3"/>
    <n v="-10"/>
    <s v=""/>
    <m/>
  </r>
  <r>
    <n v="69"/>
    <n v="71"/>
    <s v="INCOMPLETA"/>
    <x v="0"/>
    <s v="QUANTIDADE_VAZIA; QUANTIDADE_NEGATIVA; CLIENTE_VAZIA"/>
    <n v="0"/>
    <n v="0"/>
    <n v="1"/>
    <n v="1"/>
    <n v="1"/>
    <n v="0"/>
    <s v="2024-02-15"/>
    <m/>
    <s v="Argamassa AC2"/>
    <n v="-3"/>
    <s v="R$ 30"/>
    <s v="R$ 30"/>
    <s v="Guarulhos"/>
  </r>
  <r>
    <n v="70"/>
    <n v="72"/>
    <s v="INCOMPLETA"/>
    <x v="0"/>
    <s v="QUANTIDADE_NEGATIVA; PRECO_VAZIA"/>
    <n v="1"/>
    <n v="0"/>
    <n v="0"/>
    <n v="1"/>
    <n v="0"/>
    <n v="0"/>
    <s v="2024-01-23"/>
    <s v="Obras Silva"/>
    <s v="Canos PVC"/>
    <n v="-3"/>
    <n v="-10"/>
    <s v=""/>
    <s v="Guarulhos"/>
  </r>
  <r>
    <n v="71"/>
    <n v="75"/>
    <s v="INCOMPLETA"/>
    <x v="0"/>
    <s v=""/>
    <n v="0"/>
    <n v="0"/>
    <n v="0"/>
    <n v="0"/>
    <n v="0"/>
    <n v="0"/>
    <s v="2024-01-24"/>
    <s v="Obras Silva"/>
    <s v="Cal Hidratada"/>
    <m/>
    <s v="R$ 30"/>
    <s v="R$ 30"/>
    <s v="Santos"/>
  </r>
  <r>
    <n v="72"/>
    <n v="76"/>
    <s v="INCOMPLETA"/>
    <x v="0"/>
    <s v="PRODUTO_VAZIA"/>
    <n v="0"/>
    <n v="1"/>
    <n v="0"/>
    <n v="0"/>
    <n v="0"/>
    <n v="0"/>
    <s v="2024-03-29"/>
    <s v="Cliente Final"/>
    <m/>
    <n v="10"/>
    <s v="R$ 30"/>
    <s v="R$ 30"/>
    <s v="Guarulhos"/>
  </r>
  <r>
    <n v="73"/>
    <n v="77"/>
    <s v="INCOMPLETA"/>
    <x v="0"/>
    <s v="PRECO_VAZIA"/>
    <n v="1"/>
    <n v="0"/>
    <n v="0"/>
    <n v="0"/>
    <n v="0"/>
    <n v="0"/>
    <s v="2024-01-31"/>
    <s v="Construtora Beta"/>
    <s v="Tinta 18L"/>
    <m/>
    <n v="-10"/>
    <s v=""/>
    <s v="Guarulhos"/>
  </r>
  <r>
    <n v="74"/>
    <n v="78"/>
    <s v="INCOMPLETA"/>
    <x v="0"/>
    <s v="QUANTIDADE_VAZIA; CLIENTE_VAZIA"/>
    <n v="0"/>
    <n v="0"/>
    <n v="1"/>
    <n v="0"/>
    <n v="1"/>
    <n v="0"/>
    <s v="2024-07-13"/>
    <m/>
    <s v="Argamassa AC2"/>
    <m/>
    <s v="R$ 30"/>
    <s v="R$ 30"/>
    <s v="Campinas"/>
  </r>
  <r>
    <n v="75"/>
    <n v="79"/>
    <s v="INCOMPLETA"/>
    <x v="0"/>
    <s v="QUANTIDADE_VAZIA; CLIENTE_VAZIA; CIDADE_VAZIA"/>
    <n v="0"/>
    <n v="0"/>
    <n v="1"/>
    <n v="0"/>
    <n v="1"/>
    <n v="1"/>
    <s v="2024-06-30"/>
    <m/>
    <s v="Brita 30kg"/>
    <n v="9"/>
    <s v="R$ 30"/>
    <s v="R$ 30"/>
    <m/>
  </r>
  <r>
    <n v="76"/>
    <n v="80"/>
    <s v="INCOMPLETA"/>
    <x v="0"/>
    <s v="PRECO_VAZIA"/>
    <n v="1"/>
    <n v="0"/>
    <n v="0"/>
    <n v="0"/>
    <n v="0"/>
    <n v="0"/>
    <s v="2024-06-12"/>
    <s v="Cliente Final"/>
    <s v="Areia 20kg"/>
    <n v="10"/>
    <n v="-10"/>
    <s v=""/>
    <s v="Guarulhos"/>
  </r>
  <r>
    <n v="77"/>
    <n v="81"/>
    <s v="COMPLETA"/>
    <x v="1"/>
    <s v=""/>
    <n v="0"/>
    <n v="0"/>
    <n v="0"/>
    <n v="0"/>
    <n v="0"/>
    <n v="0"/>
    <s v="2024-01-14"/>
    <s v="Obras Silva"/>
    <s v="Canos PVC"/>
    <n v="4"/>
    <n v="206.35"/>
    <n v="206.35"/>
    <s v="Osasco"/>
  </r>
  <r>
    <n v="78"/>
    <n v="82"/>
    <s v="INCOMPLETA"/>
    <x v="0"/>
    <s v="PRECO_VAZIA"/>
    <n v="1"/>
    <n v="0"/>
    <n v="0"/>
    <n v="0"/>
    <n v="0"/>
    <n v="0"/>
    <s v="2024-01-14"/>
    <s v="Construtora Beta"/>
    <s v="Brita 30kg"/>
    <n v="10"/>
    <m/>
    <s v=""/>
    <s v="São Paulo"/>
  </r>
  <r>
    <n v="79"/>
    <n v="83"/>
    <s v="COMPLETA"/>
    <x v="0"/>
    <s v=""/>
    <n v="0"/>
    <n v="0"/>
    <n v="0"/>
    <n v="0"/>
    <n v="0"/>
    <n v="0"/>
    <s v="2024-02-16"/>
    <s v="Cliente Final"/>
    <s v="Cal Hidratada"/>
    <n v="10"/>
    <s v="R$ 30"/>
    <s v="R$ 30"/>
    <s v="Osasco"/>
  </r>
  <r>
    <n v="80"/>
    <n v="83"/>
    <s v="INCOMPLETA"/>
    <x v="0"/>
    <s v="QUANTIDADE_VAZIA; QUANTIDADE_NEGATIVA; PRECO_VAZIA; CLIENTE_VAZIA"/>
    <n v="1"/>
    <n v="0"/>
    <n v="1"/>
    <n v="1"/>
    <n v="1"/>
    <n v="0"/>
    <s v="2024-04-16"/>
    <m/>
    <s v="Cal Hidratada"/>
    <n v="-3"/>
    <n v="-10"/>
    <s v=""/>
    <s v="Guarulhos"/>
  </r>
  <r>
    <n v="81"/>
    <n v="84"/>
    <s v="INCOMPLETA"/>
    <x v="0"/>
    <s v="PRECO_VAZIA; CIDADE_VAZIA"/>
    <n v="1"/>
    <n v="0"/>
    <n v="0"/>
    <n v="0"/>
    <n v="0"/>
    <n v="1"/>
    <s v="2024-04-19"/>
    <s v="Obras Silva"/>
    <s v="Cimento 50kg"/>
    <n v="20"/>
    <m/>
    <s v=""/>
    <m/>
  </r>
  <r>
    <n v="82"/>
    <n v="85"/>
    <s v="INCOMPLETA"/>
    <x v="0"/>
    <s v="QUANTIDADE_NEGATIVA; PRECO_VAZIA"/>
    <n v="1"/>
    <n v="0"/>
    <n v="0"/>
    <n v="1"/>
    <n v="0"/>
    <n v="0"/>
    <s v="2024-07-16"/>
    <s v="Construtora Beta"/>
    <s v="Argamassa AC2"/>
    <n v="-3"/>
    <n v="-10"/>
    <s v=""/>
    <s v="Osasco"/>
  </r>
  <r>
    <n v="83"/>
    <n v="85"/>
    <s v="INCOMPLETA"/>
    <x v="0"/>
    <s v="PRECO_VAZIA"/>
    <n v="1"/>
    <n v="0"/>
    <n v="0"/>
    <n v="0"/>
    <n v="0"/>
    <n v="0"/>
    <s v="2024-06-18"/>
    <s v="Construtora Alfa"/>
    <s v="Brita 30kg"/>
    <m/>
    <m/>
    <s v=""/>
    <s v="São Paulo"/>
  </r>
  <r>
    <n v="84"/>
    <n v="86"/>
    <s v="INCOMPLETA"/>
    <x v="0"/>
    <s v="QUANTIDADE_VAZIA; CLIENTE_VAZIA; CIDADE_VAZIA"/>
    <n v="0"/>
    <n v="0"/>
    <n v="1"/>
    <n v="0"/>
    <n v="1"/>
    <n v="1"/>
    <s v="2024-06-25"/>
    <m/>
    <s v="Canos PVC"/>
    <n v="10"/>
    <s v="R$ 30"/>
    <s v="R$ 30"/>
    <m/>
  </r>
  <r>
    <n v="85"/>
    <n v="87"/>
    <s v="INCOMPLETA"/>
    <x v="0"/>
    <s v="PRECO_VAZIA; CIDADE_VAZIA"/>
    <n v="1"/>
    <n v="0"/>
    <n v="0"/>
    <n v="0"/>
    <n v="0"/>
    <n v="1"/>
    <s v="2024-01-19"/>
    <s v="Construtora Beta"/>
    <s v="Argamassa AC2"/>
    <m/>
    <m/>
    <s v=""/>
    <m/>
  </r>
  <r>
    <n v="86"/>
    <n v="88"/>
    <s v="INCOMPLETA"/>
    <x v="0"/>
    <s v=""/>
    <n v="0"/>
    <n v="0"/>
    <n v="0"/>
    <n v="0"/>
    <n v="0"/>
    <n v="0"/>
    <s v="2024-03-09"/>
    <s v="Construtora Beta"/>
    <s v="Areia 20kg"/>
    <m/>
    <s v="R$ 30"/>
    <s v="R$ 30"/>
    <s v="Santos"/>
  </r>
  <r>
    <n v="87"/>
    <n v="89"/>
    <s v="COMPLETA"/>
    <x v="0"/>
    <s v="QUANTIDADE_NEGATIVA"/>
    <n v="0"/>
    <n v="0"/>
    <n v="0"/>
    <n v="1"/>
    <n v="0"/>
    <n v="0"/>
    <s v="2024-06-25"/>
    <s v="Obras Silva"/>
    <s v="Metais"/>
    <n v="-3"/>
    <n v="224.5"/>
    <n v="224.5"/>
    <s v="Santos"/>
  </r>
  <r>
    <n v="88"/>
    <n v="90"/>
    <s v="INCOMPLETA"/>
    <x v="0"/>
    <s v="CIDADE_VAZIA"/>
    <n v="0"/>
    <n v="0"/>
    <n v="0"/>
    <n v="0"/>
    <n v="0"/>
    <n v="1"/>
    <s v="2024-06-03"/>
    <s v="Obras Silva"/>
    <s v="Cimento 50kg"/>
    <m/>
    <n v="481.34"/>
    <n v="481.34"/>
    <m/>
  </r>
  <r>
    <n v="89"/>
    <n v="91"/>
    <s v="INCOMPLETA"/>
    <x v="0"/>
    <s v="QUANTIDADE_NEGATIVA; PRECO_VAZIA"/>
    <n v="1"/>
    <n v="0"/>
    <n v="0"/>
    <n v="1"/>
    <n v="0"/>
    <n v="0"/>
    <s v="2024-05-27"/>
    <s v="Construtora Alfa"/>
    <s v="Brita 30kg"/>
    <n v="-3"/>
    <m/>
    <s v=""/>
    <s v="Osasco"/>
  </r>
  <r>
    <n v="90"/>
    <n v="92"/>
    <s v="COMPLETA"/>
    <x v="0"/>
    <s v="QUANTIDADE_NEGATIVA"/>
    <n v="0"/>
    <n v="0"/>
    <n v="0"/>
    <n v="1"/>
    <n v="0"/>
    <n v="0"/>
    <s v="2024-05-05"/>
    <s v="Construtora Alfa"/>
    <s v="Canos PVC"/>
    <n v="-3"/>
    <n v="173.32"/>
    <n v="173.32"/>
    <s v="Campinas"/>
  </r>
  <r>
    <n v="91"/>
    <n v="93"/>
    <s v="COMPLETA"/>
    <x v="0"/>
    <s v=""/>
    <n v="0"/>
    <n v="0"/>
    <n v="0"/>
    <n v="0"/>
    <n v="0"/>
    <n v="0"/>
    <s v="2024-06-26"/>
    <s v="Cliente Final"/>
    <s v="Argamassa AC2"/>
    <n v="13"/>
    <s v="R$ 30"/>
    <s v="R$ 30"/>
    <s v="Guarulhos"/>
  </r>
  <r>
    <n v="92"/>
    <n v="94"/>
    <s v="INCOMPLETA"/>
    <x v="0"/>
    <s v="QUANTIDADE_NEGATIVA; PRECO_VAZIA; PRODUTO_VAZIA"/>
    <n v="1"/>
    <n v="1"/>
    <n v="0"/>
    <n v="1"/>
    <n v="0"/>
    <n v="0"/>
    <s v="2024-07-16"/>
    <s v="Cliente Final"/>
    <m/>
    <n v="-3"/>
    <m/>
    <s v=""/>
    <s v="Osasco"/>
  </r>
  <r>
    <n v="93"/>
    <n v="95"/>
    <s v="INCOMPLETA"/>
    <x v="0"/>
    <s v="PRECO_VAZIA"/>
    <n v="1"/>
    <n v="0"/>
    <n v="0"/>
    <n v="0"/>
    <n v="0"/>
    <n v="0"/>
    <s v="2024-07-12"/>
    <s v="Cliente Final"/>
    <s v="Canos PVC"/>
    <m/>
    <m/>
    <s v=""/>
    <s v="Guarulhos"/>
  </r>
  <r>
    <n v="94"/>
    <n v="96"/>
    <s v="INCOMPLETA"/>
    <x v="0"/>
    <s v=""/>
    <n v="0"/>
    <n v="0"/>
    <n v="0"/>
    <n v="0"/>
    <n v="0"/>
    <n v="0"/>
    <s v="2024-06-27"/>
    <s v="Cliente Final"/>
    <s v="Areia 20kg"/>
    <m/>
    <s v="R$ 30"/>
    <s v="R$ 30"/>
    <s v="Osasco"/>
  </r>
  <r>
    <n v="95"/>
    <n v="98"/>
    <s v="INCOMPLETA"/>
    <x v="0"/>
    <s v="QUANTIDADE_VAZIA; QUANTIDADE_NEGATIVA; PRECO_VAZIA; CLIENTE_VAZIA"/>
    <n v="1"/>
    <n v="0"/>
    <n v="1"/>
    <n v="1"/>
    <n v="1"/>
    <n v="0"/>
    <s v="2024-03-15"/>
    <m/>
    <s v="Argamassa AC2"/>
    <n v="-3"/>
    <m/>
    <s v=""/>
    <s v="Santos"/>
  </r>
  <r>
    <n v="96"/>
    <n v="99"/>
    <s v="INCOMPLETA"/>
    <x v="0"/>
    <s v="PRECO_VAZIA; PRODUTO_VAZIA"/>
    <n v="1"/>
    <n v="1"/>
    <n v="0"/>
    <n v="0"/>
    <n v="0"/>
    <n v="0"/>
    <s v="2024-04-08"/>
    <s v="Construtora Beta"/>
    <m/>
    <n v="5"/>
    <n v="-10"/>
    <s v=""/>
    <s v="Guarulhos"/>
  </r>
  <r>
    <n v="97"/>
    <n v="100"/>
    <s v="INCOMPLETA"/>
    <x v="0"/>
    <s v="PRECO_VAZIA"/>
    <n v="1"/>
    <n v="0"/>
    <n v="0"/>
    <n v="0"/>
    <n v="0"/>
    <n v="0"/>
    <s v="2024-05-09"/>
    <s v="Obras Silva"/>
    <s v="Cimento 50kg"/>
    <n v="10"/>
    <n v="-10"/>
    <s v=""/>
    <s v="Campinas"/>
  </r>
  <r>
    <n v="98"/>
    <n v="101"/>
    <s v="COMPLETA"/>
    <x v="0"/>
    <s v="QUANTIDADE_NEGATIVA"/>
    <n v="0"/>
    <n v="0"/>
    <n v="0"/>
    <n v="1"/>
    <n v="0"/>
    <n v="0"/>
    <s v="2024-05-03"/>
    <s v="Obras Silva"/>
    <s v="Tinta 18L"/>
    <n v="-3"/>
    <s v="R$ 30"/>
    <s v="R$ 30"/>
    <s v="Campinas"/>
  </r>
  <r>
    <n v="99"/>
    <n v="102"/>
    <s v="INCOMPLETA"/>
    <x v="0"/>
    <s v="QUANTIDADE_VAZIA; QUANTIDADE_NEGATIVA; PRECO_VAZIA; CLIENTE_VAZIA; CIDADE_VAZIA"/>
    <n v="1"/>
    <n v="0"/>
    <n v="1"/>
    <n v="1"/>
    <n v="1"/>
    <n v="1"/>
    <s v="2024-03-02"/>
    <m/>
    <s v="Metais"/>
    <n v="-3"/>
    <n v="-10"/>
    <s v=""/>
    <m/>
  </r>
  <r>
    <n v="100"/>
    <n v="103"/>
    <s v="COMPLETA"/>
    <x v="0"/>
    <s v=""/>
    <n v="0"/>
    <n v="0"/>
    <n v="0"/>
    <n v="0"/>
    <n v="0"/>
    <n v="0"/>
    <s v="2024-04-07"/>
    <s v="Cliente Final"/>
    <s v="Brita 30kg"/>
    <n v="16"/>
    <s v="R$ 30"/>
    <s v="R$ 30"/>
    <s v="São Paulo"/>
  </r>
  <r>
    <n v="101"/>
    <n v="104"/>
    <s v="INCOMPLETA"/>
    <x v="0"/>
    <s v="PRECO_VAZIA"/>
    <n v="1"/>
    <n v="0"/>
    <n v="0"/>
    <n v="0"/>
    <n v="0"/>
    <n v="0"/>
    <s v="2024-01-24"/>
    <s v="Construtora Beta"/>
    <s v="Areia 20kg"/>
    <n v="15"/>
    <m/>
    <s v=""/>
    <s v="Santos"/>
  </r>
  <r>
    <n v="102"/>
    <n v="104"/>
    <s v="INCOMPLETA"/>
    <x v="0"/>
    <s v="PRECO_VAZIA; PRODUTO_VAZIA; CIDADE_VAZIA"/>
    <n v="1"/>
    <n v="1"/>
    <n v="0"/>
    <n v="0"/>
    <n v="0"/>
    <n v="1"/>
    <s v="2024-04-22"/>
    <s v="Construtora Alfa"/>
    <m/>
    <n v="15"/>
    <n v="-10"/>
    <s v=""/>
    <m/>
  </r>
  <r>
    <n v="103"/>
    <n v="105"/>
    <s v="INCOMPLETA"/>
    <x v="0"/>
    <s v="QUANTIDADE_NEGATIVA; CIDADE_VAZIA"/>
    <n v="0"/>
    <n v="0"/>
    <n v="0"/>
    <n v="1"/>
    <n v="0"/>
    <n v="1"/>
    <s v="2024-01-20"/>
    <s v="Cliente Final"/>
    <s v="Argamassa AC2"/>
    <n v="-3"/>
    <s v="R$ 30"/>
    <s v="R$ 30"/>
    <m/>
  </r>
  <r>
    <n v="104"/>
    <n v="106"/>
    <s v="INCOMPLETA"/>
    <x v="0"/>
    <s v="PRECO_VAZIA; CIDADE_VAZIA"/>
    <n v="1"/>
    <n v="0"/>
    <n v="0"/>
    <n v="0"/>
    <n v="0"/>
    <n v="1"/>
    <s v="2024-04-07"/>
    <s v="Obras Silva"/>
    <s v="Canos PVC"/>
    <n v="18"/>
    <m/>
    <s v=""/>
    <m/>
  </r>
  <r>
    <n v="105"/>
    <n v="107"/>
    <s v="INCOMPLETA"/>
    <x v="0"/>
    <s v="QUANTIDADE_VAZIA; QUANTIDADE_NEGATIVA; CLIENTE_VAZIA"/>
    <n v="0"/>
    <n v="0"/>
    <n v="1"/>
    <n v="1"/>
    <n v="1"/>
    <n v="0"/>
    <s v="2024-04-09"/>
    <m/>
    <s v="Cimento 50kg"/>
    <n v="-3"/>
    <s v="R$ 30"/>
    <s v="R$ 30"/>
    <s v="Guarulhos"/>
  </r>
  <r>
    <n v="106"/>
    <n v="107"/>
    <s v="COMPLETA"/>
    <x v="1"/>
    <s v=""/>
    <n v="0"/>
    <n v="0"/>
    <n v="0"/>
    <n v="0"/>
    <n v="0"/>
    <n v="0"/>
    <s v="2024-03-14"/>
    <s v="Construtora Beta"/>
    <s v="Areia 20kg"/>
    <n v="14"/>
    <n v="382.58"/>
    <n v="382.58"/>
    <s v="Santos"/>
  </r>
  <r>
    <n v="107"/>
    <n v="108"/>
    <s v="COMPLETA"/>
    <x v="0"/>
    <s v=""/>
    <n v="0"/>
    <n v="0"/>
    <n v="0"/>
    <n v="0"/>
    <n v="0"/>
    <n v="0"/>
    <s v="2024-03-17"/>
    <s v="Construtora Alfa"/>
    <s v="Cimento 50kg"/>
    <n v="11"/>
    <s v="R$ 30"/>
    <s v="R$ 30"/>
    <s v="Santos"/>
  </r>
  <r>
    <n v="108"/>
    <n v="109"/>
    <s v="INCOMPLETA"/>
    <x v="0"/>
    <s v="PRECO_VAZIA"/>
    <n v="1"/>
    <n v="0"/>
    <n v="0"/>
    <n v="0"/>
    <n v="0"/>
    <n v="0"/>
    <s v="2024-05-15"/>
    <s v="Cliente Final"/>
    <s v="Brita 30kg"/>
    <m/>
    <n v="-10"/>
    <s v=""/>
    <s v="Osasco"/>
  </r>
  <r>
    <n v="109"/>
    <n v="110"/>
    <s v="COMPLETA"/>
    <x v="1"/>
    <s v=""/>
    <n v="0"/>
    <n v="0"/>
    <n v="0"/>
    <n v="0"/>
    <n v="0"/>
    <n v="0"/>
    <s v="2024-03-31"/>
    <s v="Cliente Final"/>
    <s v="Metais"/>
    <n v="15"/>
    <n v="339.95"/>
    <n v="339.95"/>
    <s v="São Paulo"/>
  </r>
  <r>
    <n v="110"/>
    <n v="110"/>
    <s v="INCOMPLETA"/>
    <x v="0"/>
    <s v="QUANTIDADE_VAZIA; QUANTIDADE_NEGATIVA; PRECO_VAZIA; CLIENTE_VAZIA"/>
    <n v="1"/>
    <n v="0"/>
    <n v="1"/>
    <n v="1"/>
    <n v="1"/>
    <n v="0"/>
    <s v="2024-05-07"/>
    <m/>
    <s v="Brita 30kg"/>
    <n v="-3"/>
    <n v="-10"/>
    <s v=""/>
    <s v="Guarulhos"/>
  </r>
  <r>
    <n v="111"/>
    <n v="111"/>
    <s v="INCOMPLETA"/>
    <x v="0"/>
    <s v="QUANTIDADE_VAZIA; CLIENTE_VAZIA; PRODUTO_VAZIA"/>
    <n v="0"/>
    <n v="1"/>
    <n v="1"/>
    <n v="0"/>
    <n v="1"/>
    <n v="0"/>
    <s v="2024-01-01"/>
    <m/>
    <m/>
    <n v="10"/>
    <s v="R$ 30"/>
    <s v="R$ 30"/>
    <s v="Osasco"/>
  </r>
  <r>
    <n v="112"/>
    <n v="111"/>
    <s v="INCOMPLETA"/>
    <x v="0"/>
    <s v="PRODUTO_VAZIA"/>
    <n v="0"/>
    <n v="1"/>
    <n v="0"/>
    <n v="0"/>
    <n v="0"/>
    <n v="0"/>
    <s v="2024-04-29"/>
    <s v="Obras Silva"/>
    <m/>
    <n v="6"/>
    <s v="R$ 30"/>
    <s v="R$ 30"/>
    <s v="Osasco"/>
  </r>
  <r>
    <n v="113"/>
    <n v="112"/>
    <s v="INCOMPLETA"/>
    <x v="0"/>
    <s v="PRECO_VAZIA"/>
    <n v="1"/>
    <n v="0"/>
    <n v="0"/>
    <n v="0"/>
    <n v="0"/>
    <n v="0"/>
    <s v="2024-04-18"/>
    <s v="Obras Silva"/>
    <s v="Canos PVC"/>
    <m/>
    <n v="-10"/>
    <s v=""/>
    <s v="São Paulo"/>
  </r>
  <r>
    <n v="114"/>
    <n v="113"/>
    <s v="INCOMPLETA"/>
    <x v="0"/>
    <s v="PRECO_VAZIA"/>
    <n v="1"/>
    <n v="0"/>
    <n v="0"/>
    <n v="0"/>
    <n v="0"/>
    <n v="0"/>
    <s v="2024-05-26"/>
    <s v="Obras Silva"/>
    <s v="Argamassa AC2"/>
    <n v="10"/>
    <n v="-10"/>
    <s v=""/>
    <s v="Guarulhos"/>
  </r>
  <r>
    <n v="115"/>
    <n v="113"/>
    <s v="INCOMPLETA"/>
    <x v="0"/>
    <s v="QUANTIDADE_NEGATIVA; PRECO_VAZIA"/>
    <n v="1"/>
    <n v="0"/>
    <n v="0"/>
    <n v="1"/>
    <n v="0"/>
    <n v="0"/>
    <s v="2024-06-18"/>
    <s v="Cliente Final"/>
    <s v="Canos PVC"/>
    <n v="-3"/>
    <m/>
    <s v=""/>
    <s v="Osasco"/>
  </r>
  <r>
    <n v="116"/>
    <n v="115"/>
    <s v="INCOMPLETA"/>
    <x v="0"/>
    <s v="PRECO_VAZIA"/>
    <n v="1"/>
    <n v="0"/>
    <n v="0"/>
    <n v="0"/>
    <n v="0"/>
    <n v="0"/>
    <s v="2024-06-07"/>
    <s v="Obras Silva"/>
    <s v="Brita 30kg"/>
    <n v="4"/>
    <n v="-10"/>
    <s v=""/>
    <s v="São Paulo"/>
  </r>
  <r>
    <n v="117"/>
    <n v="116"/>
    <s v="INCOMPLETA"/>
    <x v="0"/>
    <s v="PRECO_VAZIA"/>
    <n v="1"/>
    <n v="0"/>
    <n v="0"/>
    <n v="0"/>
    <n v="0"/>
    <n v="0"/>
    <s v="2024-07-06"/>
    <s v="Construtora Beta"/>
    <s v="Areia 20kg"/>
    <n v="10"/>
    <m/>
    <s v=""/>
    <s v="Campinas"/>
  </r>
  <r>
    <n v="118"/>
    <n v="117"/>
    <s v="INCOMPLETA"/>
    <x v="0"/>
    <s v="PRODUTO_VAZIA"/>
    <n v="0"/>
    <n v="1"/>
    <n v="0"/>
    <n v="0"/>
    <n v="0"/>
    <n v="0"/>
    <s v="2024-05-18"/>
    <s v="Obras Silva"/>
    <m/>
    <n v="10"/>
    <s v="R$ 30"/>
    <s v="R$ 30"/>
    <s v="Santos"/>
  </r>
  <r>
    <n v="119"/>
    <n v="118"/>
    <s v="INCOMPLETA"/>
    <x v="0"/>
    <s v="PRECO_VAZIA; CIDADE_VAZIA"/>
    <n v="1"/>
    <n v="0"/>
    <n v="0"/>
    <n v="0"/>
    <n v="0"/>
    <n v="1"/>
    <s v="2024-03-16"/>
    <s v="Obras Silva"/>
    <s v="Areia 20kg"/>
    <n v="15"/>
    <m/>
    <s v=""/>
    <m/>
  </r>
  <r>
    <n v="120"/>
    <n v="119"/>
    <s v="INCOMPLETA"/>
    <x v="0"/>
    <s v="QUANTIDADE_VAZIA; QUANTIDADE_NEGATIVA; CLIENTE_VAZIA"/>
    <n v="0"/>
    <n v="0"/>
    <n v="1"/>
    <n v="1"/>
    <n v="1"/>
    <n v="0"/>
    <s v="2024-04-11"/>
    <m/>
    <s v="Tinta 18L"/>
    <n v="-3"/>
    <n v="16.82"/>
    <n v="16.82"/>
    <s v="Santos"/>
  </r>
  <r>
    <n v="121"/>
    <n v="120"/>
    <s v="INCOMPLETA"/>
    <x v="0"/>
    <s v="PRECO_VAZIA"/>
    <n v="1"/>
    <n v="0"/>
    <n v="0"/>
    <n v="0"/>
    <n v="0"/>
    <n v="0"/>
    <s v="2024-07-10"/>
    <s v="Obras Silva"/>
    <s v="Metais"/>
    <n v="12"/>
    <n v="-10"/>
    <s v=""/>
    <s v="São Paulo"/>
  </r>
  <r>
    <n v="122"/>
    <n v="121"/>
    <s v="INCOMPLETA"/>
    <x v="0"/>
    <s v="QUANTIDADE_NEGATIVA; CIDADE_VAZIA"/>
    <n v="0"/>
    <n v="0"/>
    <n v="0"/>
    <n v="1"/>
    <n v="0"/>
    <n v="1"/>
    <s v="2024-05-23"/>
    <s v="Obras Silva"/>
    <s v="Cal Hidratada"/>
    <n v="-3"/>
    <s v="R$ 30"/>
    <s v="R$ 30"/>
    <m/>
  </r>
  <r>
    <n v="123"/>
    <n v="122"/>
    <s v="INCOMPLETA"/>
    <x v="0"/>
    <s v="QUANTIDADE_NEGATIVA; PRECO_VAZIA"/>
    <n v="1"/>
    <n v="0"/>
    <n v="0"/>
    <n v="1"/>
    <n v="0"/>
    <n v="0"/>
    <s v="2024-02-05"/>
    <s v="Construtora Alfa"/>
    <s v="Cimento 50kg"/>
    <n v="-3"/>
    <m/>
    <s v=""/>
    <s v="Osasco"/>
  </r>
  <r>
    <n v="124"/>
    <n v="123"/>
    <s v="INCOMPLETA"/>
    <x v="0"/>
    <s v="PRODUTO_VAZIA"/>
    <n v="0"/>
    <n v="1"/>
    <n v="0"/>
    <n v="0"/>
    <n v="0"/>
    <n v="0"/>
    <s v="2024-04-26"/>
    <s v="Obras Silva"/>
    <m/>
    <m/>
    <n v="443.85"/>
    <n v="443.85"/>
    <s v="Santos"/>
  </r>
  <r>
    <n v="125"/>
    <n v="124"/>
    <s v="INCOMPLETA"/>
    <x v="0"/>
    <s v="QUANTIDADE_NEGATIVA; PRECO_VAZIA"/>
    <n v="1"/>
    <n v="0"/>
    <n v="0"/>
    <n v="1"/>
    <n v="0"/>
    <n v="0"/>
    <s v="2024-03-12"/>
    <s v="Construtora Alfa"/>
    <s v="Tinta 18L"/>
    <n v="-3"/>
    <m/>
    <s v=""/>
    <s v="Guarulhos"/>
  </r>
  <r>
    <n v="126"/>
    <n v="127"/>
    <s v="INCOMPLETA"/>
    <x v="0"/>
    <s v="QUANTIDADE_VAZIA; PRECO_VAZIA; CLIENTE_VAZIA"/>
    <n v="1"/>
    <n v="0"/>
    <n v="1"/>
    <n v="0"/>
    <n v="1"/>
    <n v="0"/>
    <s v="2024-07-14"/>
    <m/>
    <s v="Cal Hidratada"/>
    <m/>
    <m/>
    <s v=""/>
    <s v="Guarulhos"/>
  </r>
  <r>
    <n v="127"/>
    <n v="128"/>
    <s v="INCOMPLETA"/>
    <x v="0"/>
    <s v="PRECO_VAZIA"/>
    <n v="1"/>
    <n v="0"/>
    <n v="0"/>
    <n v="0"/>
    <n v="0"/>
    <n v="0"/>
    <s v="2024-06-01"/>
    <s v="Construtora Alfa"/>
    <s v="Argamassa AC2"/>
    <m/>
    <m/>
    <s v=""/>
    <s v="São Paulo"/>
  </r>
  <r>
    <n v="128"/>
    <n v="129"/>
    <s v="INCOMPLETA"/>
    <x v="0"/>
    <s v=""/>
    <n v="0"/>
    <n v="0"/>
    <n v="0"/>
    <n v="0"/>
    <n v="0"/>
    <n v="0"/>
    <s v="2024-01-07"/>
    <s v="Construtora Beta"/>
    <s v="Cimento 50kg"/>
    <m/>
    <n v="298.54000000000002"/>
    <n v="298.54000000000002"/>
    <s v="Campinas"/>
  </r>
  <r>
    <n v="129"/>
    <n v="130"/>
    <s v="INCOMPLETA"/>
    <x v="0"/>
    <s v="PRODUTO_VAZIA"/>
    <n v="0"/>
    <n v="1"/>
    <n v="0"/>
    <n v="0"/>
    <n v="0"/>
    <n v="0"/>
    <s v="2024-02-02"/>
    <s v="Cliente Final"/>
    <m/>
    <n v="4"/>
    <s v="R$ 30"/>
    <s v="R$ 30"/>
    <s v="Osasco"/>
  </r>
  <r>
    <n v="130"/>
    <n v="131"/>
    <s v="INCOMPLETA"/>
    <x v="0"/>
    <s v="QUANTIDADE_VAZIA; CLIENTE_VAZIA"/>
    <n v="0"/>
    <n v="0"/>
    <n v="1"/>
    <n v="0"/>
    <n v="1"/>
    <n v="0"/>
    <s v="2024-04-25"/>
    <m/>
    <s v="Cal Hidratada"/>
    <n v="20"/>
    <s v="R$ 30"/>
    <s v="R$ 30"/>
    <s v="Santos"/>
  </r>
  <r>
    <n v="131"/>
    <n v="132"/>
    <s v="INCOMPLETA"/>
    <x v="0"/>
    <s v="QUANTIDADE_NEGATIVA; PRECO_VAZIA; CIDADE_VAZIA"/>
    <n v="1"/>
    <n v="0"/>
    <n v="0"/>
    <n v="1"/>
    <n v="0"/>
    <n v="1"/>
    <s v="2024-01-08"/>
    <s v="Construtora Alfa"/>
    <s v="Canos PVC"/>
    <n v="-3"/>
    <n v="-10"/>
    <s v=""/>
    <m/>
  </r>
  <r>
    <n v="132"/>
    <n v="133"/>
    <s v="INCOMPLETA"/>
    <x v="0"/>
    <s v=""/>
    <n v="0"/>
    <n v="0"/>
    <n v="0"/>
    <n v="0"/>
    <n v="0"/>
    <n v="0"/>
    <s v="2024-01-19"/>
    <s v="Construtora Alfa"/>
    <s v="Tinta 18L"/>
    <m/>
    <s v="R$ 30"/>
    <s v="R$ 30"/>
    <s v="Osasco"/>
  </r>
  <r>
    <n v="133"/>
    <n v="134"/>
    <s v="INCOMPLETA"/>
    <x v="0"/>
    <s v="PRECO_VAZIA"/>
    <n v="1"/>
    <n v="0"/>
    <n v="0"/>
    <n v="0"/>
    <n v="0"/>
    <n v="0"/>
    <s v="2024-05-20"/>
    <s v="Obras Silva"/>
    <s v="Metais"/>
    <n v="10"/>
    <n v="-10"/>
    <s v=""/>
    <s v="São Paulo"/>
  </r>
  <r>
    <n v="134"/>
    <n v="135"/>
    <s v="INCOMPLETA"/>
    <x v="0"/>
    <s v="QUANTIDADE_VAZIA; QUANTIDADE_NEGATIVA; PRECO_VAZIA; CLIENTE_VAZIA"/>
    <n v="1"/>
    <n v="0"/>
    <n v="1"/>
    <n v="1"/>
    <n v="1"/>
    <n v="0"/>
    <s v="2024-01-30"/>
    <m/>
    <s v="Cal Hidratada"/>
    <n v="-3"/>
    <n v="-10"/>
    <s v=""/>
    <s v="Guarulhos"/>
  </r>
  <r>
    <n v="135"/>
    <n v="136"/>
    <s v="COMPLETA"/>
    <x v="0"/>
    <s v="QUANTIDADE_NEGATIVA"/>
    <n v="0"/>
    <n v="0"/>
    <n v="0"/>
    <n v="1"/>
    <n v="0"/>
    <n v="0"/>
    <s v="2024-04-12"/>
    <s v="Cliente Final"/>
    <s v="Areia 20kg"/>
    <n v="-3"/>
    <s v="R$ 30"/>
    <s v="R$ 30"/>
    <s v="Guarulhos"/>
  </r>
  <r>
    <n v="136"/>
    <n v="137"/>
    <s v="INCOMPLETA"/>
    <x v="0"/>
    <s v="CIDADE_VAZIA"/>
    <n v="0"/>
    <n v="0"/>
    <n v="0"/>
    <n v="0"/>
    <n v="0"/>
    <n v="1"/>
    <s v="2024-06-24"/>
    <s v="Cliente Final"/>
    <s v="Areia 20kg"/>
    <n v="3"/>
    <n v="55.68"/>
    <n v="55.68"/>
    <m/>
  </r>
  <r>
    <n v="137"/>
    <n v="138"/>
    <s v="INCOMPLETA"/>
    <x v="0"/>
    <s v="QUANTIDADE_VAZIA; PRECO_VAZIA; CLIENTE_VAZIA"/>
    <n v="1"/>
    <n v="0"/>
    <n v="1"/>
    <n v="0"/>
    <n v="1"/>
    <n v="0"/>
    <s v="2024-02-03"/>
    <m/>
    <s v="Cimento 50kg"/>
    <n v="10"/>
    <n v="-10"/>
    <s v=""/>
    <s v="Guarulhos"/>
  </r>
  <r>
    <n v="138"/>
    <n v="139"/>
    <s v="INCOMPLETA"/>
    <x v="0"/>
    <s v="PRECO_VAZIA"/>
    <n v="1"/>
    <n v="0"/>
    <n v="0"/>
    <n v="0"/>
    <n v="0"/>
    <n v="0"/>
    <s v="2024-07-11"/>
    <s v="Cliente Final"/>
    <s v="Cimento 50kg"/>
    <n v="10"/>
    <m/>
    <s v=""/>
    <s v="Campinas"/>
  </r>
  <r>
    <n v="139"/>
    <n v="140"/>
    <s v="COMPLETA"/>
    <x v="0"/>
    <s v=""/>
    <n v="0"/>
    <n v="0"/>
    <n v="0"/>
    <n v="0"/>
    <n v="0"/>
    <n v="0"/>
    <s v="2024-02-27"/>
    <s v="Construtora Alfa"/>
    <s v="Tinta 18L"/>
    <n v="10"/>
    <s v="R$ 30"/>
    <s v="R$ 30"/>
    <s v="Osasco"/>
  </r>
  <r>
    <n v="140"/>
    <n v="141"/>
    <s v="INCOMPLETA"/>
    <x v="0"/>
    <s v="QUANTIDADE_VAZIA; CLIENTE_VAZIA; PRODUTO_VAZIA; CIDADE_VAZIA"/>
    <n v="0"/>
    <n v="1"/>
    <n v="1"/>
    <n v="0"/>
    <n v="1"/>
    <n v="1"/>
    <s v="2024-04-19"/>
    <m/>
    <m/>
    <n v="10"/>
    <s v="R$ 30"/>
    <s v="R$ 30"/>
    <m/>
  </r>
  <r>
    <n v="141"/>
    <n v="142"/>
    <s v="INCOMPLETA"/>
    <x v="0"/>
    <s v="PRECO_VAZIA"/>
    <n v="1"/>
    <n v="0"/>
    <n v="0"/>
    <n v="0"/>
    <n v="0"/>
    <n v="0"/>
    <s v="2024-03-27"/>
    <s v="Obras Silva"/>
    <s v="Cimento 50kg"/>
    <m/>
    <n v="-10"/>
    <s v=""/>
    <s v="São Paulo"/>
  </r>
  <r>
    <n v="142"/>
    <n v="143"/>
    <s v="INCOMPLETA"/>
    <x v="0"/>
    <s v="PRECO_VAZIA"/>
    <n v="1"/>
    <n v="0"/>
    <n v="0"/>
    <n v="0"/>
    <n v="0"/>
    <n v="0"/>
    <s v="2024-06-11"/>
    <s v="Construtora Alfa"/>
    <s v="Areia 20kg"/>
    <m/>
    <n v="-10"/>
    <s v=""/>
    <s v="Guarulhos"/>
  </r>
  <r>
    <n v="143"/>
    <n v="144"/>
    <s v="INCOMPLETA"/>
    <x v="0"/>
    <s v="CIDADE_VAZIA"/>
    <n v="0"/>
    <n v="0"/>
    <n v="0"/>
    <n v="0"/>
    <n v="0"/>
    <n v="1"/>
    <s v="2024-03-20"/>
    <s v="Obras Silva"/>
    <s v="Areia 20kg"/>
    <m/>
    <n v="87.13"/>
    <n v="87.13"/>
    <m/>
  </r>
  <r>
    <n v="144"/>
    <n v="146"/>
    <s v="COMPLETA"/>
    <x v="0"/>
    <s v="QUANTIDADE_NEGATIVA"/>
    <n v="0"/>
    <n v="0"/>
    <n v="0"/>
    <n v="1"/>
    <n v="0"/>
    <n v="0"/>
    <s v="2024-04-20"/>
    <s v="Construtora Alfa"/>
    <s v="Argamassa AC2"/>
    <n v="-3"/>
    <s v="R$ 30"/>
    <s v="R$ 30"/>
    <s v="São Paulo"/>
  </r>
  <r>
    <n v="145"/>
    <n v="147"/>
    <s v="INCOMPLETA"/>
    <x v="0"/>
    <s v="PRECO_VAZIA"/>
    <n v="1"/>
    <n v="0"/>
    <n v="0"/>
    <n v="0"/>
    <n v="0"/>
    <n v="0"/>
    <s v="2024-06-02"/>
    <s v="Construtora Alfa"/>
    <s v="Cimento 50kg"/>
    <n v="10"/>
    <m/>
    <s v=""/>
    <s v="Guarulhos"/>
  </r>
  <r>
    <n v="146"/>
    <n v="148"/>
    <s v="INCOMPLETA"/>
    <x v="0"/>
    <s v="PRECO_VAZIA"/>
    <n v="1"/>
    <n v="0"/>
    <n v="0"/>
    <n v="0"/>
    <n v="0"/>
    <n v="0"/>
    <s v="2024-01-31"/>
    <s v="Construtora Alfa"/>
    <s v="Canos PVC"/>
    <m/>
    <m/>
    <s v=""/>
    <s v="Osasco"/>
  </r>
  <r>
    <n v="147"/>
    <n v="149"/>
    <s v="INCOMPLETA"/>
    <x v="0"/>
    <s v="PRECO_VAZIA"/>
    <n v="1"/>
    <n v="0"/>
    <n v="0"/>
    <n v="0"/>
    <n v="0"/>
    <n v="0"/>
    <s v="2024-06-20"/>
    <s v="Obras Silva"/>
    <s v="Areia 20kg"/>
    <n v="13"/>
    <n v="-10"/>
    <s v=""/>
    <s v="São Paulo"/>
  </r>
  <r>
    <n v="148"/>
    <n v="150"/>
    <s v="COMPLETA"/>
    <x v="1"/>
    <s v=""/>
    <n v="0"/>
    <n v="0"/>
    <n v="0"/>
    <n v="0"/>
    <n v="0"/>
    <n v="0"/>
    <s v="2024-05-27"/>
    <s v="Cliente Final"/>
    <s v="Metais"/>
    <n v="10"/>
    <n v="66.430000000000007"/>
    <n v="66.430000000000007"/>
    <s v="Guarulhos"/>
  </r>
  <r>
    <n v="149"/>
    <n v="151"/>
    <s v="INCOMPLETA"/>
    <x v="0"/>
    <s v="QUANTIDADE_NEGATIVA; PRECO_VAZIA"/>
    <n v="1"/>
    <n v="0"/>
    <n v="0"/>
    <n v="1"/>
    <n v="0"/>
    <n v="0"/>
    <s v="2024-06-07"/>
    <s v="Cliente Final"/>
    <s v="Tinta 18L"/>
    <n v="-3"/>
    <m/>
    <s v=""/>
    <s v="Santos"/>
  </r>
  <r>
    <n v="150"/>
    <n v="152"/>
    <s v="INCOMPLETA"/>
    <x v="0"/>
    <s v="PRECO_VAZIA"/>
    <n v="1"/>
    <n v="0"/>
    <n v="0"/>
    <n v="0"/>
    <n v="0"/>
    <n v="0"/>
    <s v="2024-05-14"/>
    <s v="Construtora Alfa"/>
    <s v="Metais"/>
    <n v="10"/>
    <m/>
    <s v=""/>
    <s v="São Paulo"/>
  </r>
  <r>
    <n v="151"/>
    <n v="153"/>
    <s v="INCOMPLETA"/>
    <x v="0"/>
    <s v="QUANTIDADE_VAZIA; PRECO_VAZIA; CLIENTE_VAZIA; PRODUTO_VAZIA"/>
    <n v="1"/>
    <n v="1"/>
    <n v="1"/>
    <n v="0"/>
    <n v="1"/>
    <n v="0"/>
    <s v="2024-01-30"/>
    <m/>
    <m/>
    <n v="10"/>
    <m/>
    <s v=""/>
    <s v="Campinas"/>
  </r>
  <r>
    <n v="152"/>
    <n v="154"/>
    <s v="INCOMPLETA"/>
    <x v="0"/>
    <s v=""/>
    <n v="0"/>
    <n v="0"/>
    <n v="0"/>
    <n v="0"/>
    <n v="0"/>
    <n v="0"/>
    <s v="2024-03-06"/>
    <s v="Construtora Beta"/>
    <s v="Brita 30kg"/>
    <m/>
    <n v="382.51"/>
    <n v="382.51"/>
    <s v="Campinas"/>
  </r>
  <r>
    <n v="153"/>
    <n v="155"/>
    <s v="INCOMPLETA"/>
    <x v="0"/>
    <s v="QUANTIDADE_NEGATIVA; CIDADE_VAZIA"/>
    <n v="0"/>
    <n v="0"/>
    <n v="0"/>
    <n v="1"/>
    <n v="0"/>
    <n v="1"/>
    <s v="2024-06-09"/>
    <s v="Cliente Final"/>
    <s v="Canos PVC"/>
    <n v="-3"/>
    <s v="R$ 30"/>
    <s v="R$ 30"/>
    <m/>
  </r>
  <r>
    <n v="154"/>
    <n v="156"/>
    <s v="COMPLETA"/>
    <x v="1"/>
    <s v=""/>
    <n v="0"/>
    <n v="0"/>
    <n v="0"/>
    <n v="0"/>
    <n v="0"/>
    <n v="0"/>
    <s v="2024-04-22"/>
    <s v="Construtora Alfa"/>
    <s v="Canos PVC"/>
    <n v="10"/>
    <n v="400.2"/>
    <n v="400.2"/>
    <s v="Guarulhos"/>
  </r>
  <r>
    <n v="155"/>
    <n v="157"/>
    <s v="COMPLETA"/>
    <x v="0"/>
    <s v=""/>
    <n v="0"/>
    <n v="0"/>
    <n v="0"/>
    <n v="0"/>
    <n v="0"/>
    <n v="0"/>
    <s v="2024-03-20"/>
    <s v="Cliente Final"/>
    <s v="Canos PVC"/>
    <n v="2"/>
    <s v="R$ 30"/>
    <s v="R$ 30"/>
    <s v="São Paulo"/>
  </r>
  <r>
    <n v="156"/>
    <n v="158"/>
    <s v="INCOMPLETA"/>
    <x v="0"/>
    <s v="QUANTIDADE_VAZIA; QUANTIDADE_NEGATIVA; CLIENTE_VAZIA; PRODUTO_VAZIA"/>
    <n v="0"/>
    <n v="1"/>
    <n v="1"/>
    <n v="1"/>
    <n v="1"/>
    <n v="0"/>
    <s v="2024-01-24"/>
    <m/>
    <m/>
    <n v="-3"/>
    <n v="294.36"/>
    <n v="294.36"/>
    <s v="Santos"/>
  </r>
  <r>
    <n v="157"/>
    <n v="159"/>
    <s v="COMPLETA"/>
    <x v="0"/>
    <s v="QUANTIDADE_NEGATIVA"/>
    <n v="0"/>
    <n v="0"/>
    <n v="0"/>
    <n v="1"/>
    <n v="0"/>
    <n v="0"/>
    <s v="2024-05-26"/>
    <s v="Construtora Beta"/>
    <s v="Tinta 18L"/>
    <n v="-3"/>
    <n v="255.67"/>
    <n v="255.67"/>
    <s v="Santos"/>
  </r>
  <r>
    <n v="158"/>
    <n v="160"/>
    <s v="INCOMPLETA"/>
    <x v="0"/>
    <s v="PRECO_VAZIA; PRODUTO_VAZIA"/>
    <n v="1"/>
    <n v="1"/>
    <n v="0"/>
    <n v="0"/>
    <n v="0"/>
    <n v="0"/>
    <s v="2024-03-28"/>
    <s v="Construtora Alfa"/>
    <m/>
    <n v="6"/>
    <n v="-10"/>
    <s v=""/>
    <s v="Santos"/>
  </r>
  <r>
    <n v="159"/>
    <n v="161"/>
    <s v="INCOMPLETA"/>
    <x v="0"/>
    <s v="CIDADE_VAZIA"/>
    <n v="0"/>
    <n v="0"/>
    <n v="0"/>
    <n v="0"/>
    <n v="0"/>
    <n v="1"/>
    <s v="2024-06-05"/>
    <s v="Construtora Beta"/>
    <s v="Tinta 18L"/>
    <n v="10"/>
    <s v="R$ 30"/>
    <s v="R$ 30"/>
    <m/>
  </r>
  <r>
    <n v="160"/>
    <n v="162"/>
    <s v="INCOMPLETA"/>
    <x v="0"/>
    <s v="PRECO_VAZIA"/>
    <n v="1"/>
    <n v="0"/>
    <n v="0"/>
    <n v="0"/>
    <n v="0"/>
    <n v="0"/>
    <s v="2024-06-10"/>
    <s v="Obras Silva"/>
    <s v="Areia 20kg"/>
    <n v="11"/>
    <n v="-10"/>
    <s v=""/>
    <s v="Guarulhos"/>
  </r>
  <r>
    <n v="161"/>
    <n v="163"/>
    <s v="INCOMPLETA"/>
    <x v="0"/>
    <s v="QUANTIDADE_VAZIA; PRECO_VAZIA; CLIENTE_VAZIA"/>
    <n v="1"/>
    <n v="0"/>
    <n v="1"/>
    <n v="0"/>
    <n v="1"/>
    <n v="0"/>
    <s v="2024-06-17"/>
    <m/>
    <s v="Brita 30kg"/>
    <n v="11"/>
    <m/>
    <s v=""/>
    <s v="Guarulhos"/>
  </r>
  <r>
    <n v="162"/>
    <n v="164"/>
    <s v="INCOMPLETA"/>
    <x v="0"/>
    <s v="PRECO_VAZIA; CIDADE_VAZIA"/>
    <n v="1"/>
    <n v="0"/>
    <n v="0"/>
    <n v="0"/>
    <n v="0"/>
    <n v="1"/>
    <s v="2024-06-16"/>
    <s v="Cliente Final"/>
    <s v="Brita 30kg"/>
    <n v="20"/>
    <n v="-10"/>
    <s v=""/>
    <m/>
  </r>
  <r>
    <n v="163"/>
    <n v="165"/>
    <s v="INCOMPLETA"/>
    <x v="0"/>
    <s v="QUANTIDADE_VAZIA; CLIENTE_VAZIA"/>
    <n v="0"/>
    <n v="0"/>
    <n v="1"/>
    <n v="0"/>
    <n v="1"/>
    <n v="0"/>
    <s v="2024-02-02"/>
    <m/>
    <s v="Areia 20kg"/>
    <n v="10"/>
    <s v="R$ 30"/>
    <s v="R$ 30"/>
    <s v="Campinas"/>
  </r>
  <r>
    <n v="164"/>
    <n v="165"/>
    <s v="COMPLETA"/>
    <x v="0"/>
    <s v=""/>
    <n v="0"/>
    <n v="0"/>
    <n v="0"/>
    <n v="0"/>
    <n v="0"/>
    <n v="0"/>
    <s v="2024-02-18"/>
    <s v="Obras Silva"/>
    <s v="Tinta 18L"/>
    <n v="10"/>
    <s v="R$ 30"/>
    <s v="R$ 30"/>
    <s v="Santos"/>
  </r>
  <r>
    <n v="165"/>
    <n v="166"/>
    <s v="INCOMPLETA"/>
    <x v="0"/>
    <s v=""/>
    <n v="0"/>
    <n v="0"/>
    <n v="0"/>
    <n v="0"/>
    <n v="0"/>
    <n v="0"/>
    <s v="2024-03-28"/>
    <s v="Cliente Final"/>
    <s v="Cal Hidratada"/>
    <m/>
    <s v="R$ 30"/>
    <s v="R$ 30"/>
    <s v="São Paulo"/>
  </r>
  <r>
    <n v="166"/>
    <n v="166"/>
    <s v="INCOMPLETA"/>
    <x v="0"/>
    <s v="QUANTIDADE_VAZIA; PRECO_VAZIA; CLIENTE_VAZIA"/>
    <n v="1"/>
    <n v="0"/>
    <n v="1"/>
    <n v="0"/>
    <n v="1"/>
    <n v="0"/>
    <s v="2024-05-18"/>
    <m/>
    <s v="Cimento 50kg"/>
    <m/>
    <m/>
    <s v=""/>
    <s v="Campinas"/>
  </r>
  <r>
    <n v="167"/>
    <n v="168"/>
    <s v="INCOMPLETA"/>
    <x v="0"/>
    <s v="QUANTIDADE_VAZIA; PRECO_VAZIA; CLIENTE_VAZIA"/>
    <n v="1"/>
    <n v="0"/>
    <n v="1"/>
    <n v="0"/>
    <n v="1"/>
    <n v="0"/>
    <s v="2024-06-26"/>
    <m/>
    <s v="Brita 30kg"/>
    <n v="15"/>
    <m/>
    <s v=""/>
    <s v="Santos"/>
  </r>
  <r>
    <n v="168"/>
    <n v="169"/>
    <s v="INCOMPLETA"/>
    <x v="0"/>
    <s v="PRECO_VAZIA"/>
    <n v="1"/>
    <n v="0"/>
    <n v="0"/>
    <n v="0"/>
    <n v="0"/>
    <n v="0"/>
    <s v="2024-07-11"/>
    <s v="Cliente Final"/>
    <s v="Cal Hidratada"/>
    <m/>
    <n v="-10"/>
    <s v=""/>
    <s v="Campinas"/>
  </r>
  <r>
    <n v="169"/>
    <n v="170"/>
    <s v="INCOMPLETA"/>
    <x v="0"/>
    <s v="QUANTIDADE_NEGATIVA; PRECO_VAZIA"/>
    <n v="1"/>
    <n v="0"/>
    <n v="0"/>
    <n v="1"/>
    <n v="0"/>
    <n v="0"/>
    <s v="2024-05-26"/>
    <s v="Cliente Final"/>
    <s v="Canos PVC"/>
    <n v="-3"/>
    <n v="-10"/>
    <s v=""/>
    <s v="Campinas"/>
  </r>
  <r>
    <n v="170"/>
    <n v="171"/>
    <s v="INCOMPLETA"/>
    <x v="0"/>
    <s v="QUANTIDADE_NEGATIVA; CIDADE_VAZIA"/>
    <n v="0"/>
    <n v="0"/>
    <n v="0"/>
    <n v="1"/>
    <n v="0"/>
    <n v="1"/>
    <s v="2024-06-03"/>
    <s v="Construtora Beta"/>
    <s v="Argamassa AC2"/>
    <n v="-3"/>
    <n v="438.32"/>
    <n v="438.32"/>
    <m/>
  </r>
  <r>
    <n v="171"/>
    <n v="172"/>
    <s v="INCOMPLETA"/>
    <x v="0"/>
    <s v="PRECO_VAZIA"/>
    <n v="1"/>
    <n v="0"/>
    <n v="0"/>
    <n v="0"/>
    <n v="0"/>
    <n v="0"/>
    <s v="2024-02-01"/>
    <s v="Obras Silva"/>
    <s v="Areia 20kg"/>
    <n v="10"/>
    <m/>
    <s v=""/>
    <s v="Santos"/>
  </r>
  <r>
    <n v="172"/>
    <n v="174"/>
    <s v="COMPLETA"/>
    <x v="0"/>
    <s v=""/>
    <n v="0"/>
    <n v="0"/>
    <n v="0"/>
    <n v="0"/>
    <n v="0"/>
    <n v="0"/>
    <s v="2024-01-21"/>
    <s v="Obras Silva"/>
    <s v="Cal Hidratada"/>
    <n v="10"/>
    <s v="R$ 30"/>
    <s v="R$ 30"/>
    <s v="Campinas"/>
  </r>
  <r>
    <n v="173"/>
    <n v="175"/>
    <s v="INCOMPLETA"/>
    <x v="0"/>
    <s v=""/>
    <n v="0"/>
    <n v="0"/>
    <n v="0"/>
    <n v="0"/>
    <n v="0"/>
    <n v="0"/>
    <s v="2024-07-18"/>
    <s v="Construtora Alfa"/>
    <s v="Canos PVC"/>
    <m/>
    <s v="R$ 30"/>
    <s v="R$ 30"/>
    <s v="Campinas"/>
  </r>
  <r>
    <n v="174"/>
    <n v="175"/>
    <s v="INCOMPLETA"/>
    <x v="0"/>
    <s v="QUANTIDADE_VAZIA; QUANTIDADE_NEGATIVA; CLIENTE_VAZIA"/>
    <n v="0"/>
    <n v="0"/>
    <n v="1"/>
    <n v="1"/>
    <n v="1"/>
    <n v="0"/>
    <s v="2024-04-04"/>
    <m/>
    <s v="Tinta 18L"/>
    <n v="-3"/>
    <n v="145.18"/>
    <n v="145.18"/>
    <s v="Santos"/>
  </r>
  <r>
    <n v="175"/>
    <n v="175"/>
    <s v="COMPLETA"/>
    <x v="0"/>
    <s v="QUANTIDADE_NEGATIVA"/>
    <n v="0"/>
    <n v="0"/>
    <n v="0"/>
    <n v="1"/>
    <n v="0"/>
    <n v="0"/>
    <s v="2024-03-14"/>
    <s v="Cliente Final"/>
    <s v="Brita 30kg"/>
    <n v="-3"/>
    <n v="311.52"/>
    <n v="311.52"/>
    <s v="São Paulo"/>
  </r>
  <r>
    <n v="176"/>
    <n v="176"/>
    <s v="INCOMPLETA"/>
    <x v="0"/>
    <s v="QUANTIDADE_VAZIA; PRECO_VAZIA; CLIENTE_VAZIA; PRODUTO_VAZIA"/>
    <n v="1"/>
    <n v="1"/>
    <n v="1"/>
    <n v="0"/>
    <n v="1"/>
    <n v="0"/>
    <s v="2024-02-08"/>
    <m/>
    <m/>
    <n v="14"/>
    <m/>
    <s v=""/>
    <s v="Guarulhos"/>
  </r>
  <r>
    <n v="177"/>
    <n v="177"/>
    <s v="INCOMPLETA"/>
    <x v="0"/>
    <s v="PRECO_VAZIA"/>
    <n v="1"/>
    <n v="0"/>
    <n v="0"/>
    <n v="0"/>
    <n v="0"/>
    <n v="0"/>
    <s v="2024-03-02"/>
    <s v="Cliente Final"/>
    <s v="Canos PVC"/>
    <n v="3"/>
    <n v="-10"/>
    <s v=""/>
    <s v="Osasco"/>
  </r>
  <r>
    <n v="178"/>
    <n v="178"/>
    <s v="INCOMPLETA"/>
    <x v="0"/>
    <s v="QUANTIDADE_VAZIA; CLIENTE_VAZIA"/>
    <n v="0"/>
    <n v="0"/>
    <n v="1"/>
    <n v="0"/>
    <n v="1"/>
    <n v="0"/>
    <s v="2024-06-10"/>
    <m/>
    <s v="Cal Hidratada"/>
    <n v="10"/>
    <s v="R$ 30"/>
    <s v="R$ 30"/>
    <s v="Campinas"/>
  </r>
  <r>
    <n v="179"/>
    <n v="179"/>
    <s v="INCOMPLETA"/>
    <x v="0"/>
    <s v="PRODUTO_VAZIA"/>
    <n v="0"/>
    <n v="1"/>
    <n v="0"/>
    <n v="0"/>
    <n v="0"/>
    <n v="0"/>
    <s v="2024-02-17"/>
    <s v="Construtora Alfa"/>
    <m/>
    <n v="12"/>
    <n v="477.17"/>
    <n v="477.17"/>
    <s v="Santos"/>
  </r>
  <r>
    <n v="180"/>
    <n v="180"/>
    <s v="COMPLETA"/>
    <x v="1"/>
    <s v=""/>
    <n v="0"/>
    <n v="0"/>
    <n v="0"/>
    <n v="0"/>
    <n v="0"/>
    <n v="0"/>
    <s v="2024-01-12"/>
    <s v="Cliente Final"/>
    <s v="Tinta 18L"/>
    <n v="9"/>
    <n v="184.98"/>
    <n v="184.98"/>
    <s v="Guarulhos"/>
  </r>
  <r>
    <n v="181"/>
    <n v="181"/>
    <s v="INCOMPLETA"/>
    <x v="0"/>
    <s v="CIDADE_VAZIA"/>
    <n v="0"/>
    <n v="0"/>
    <n v="0"/>
    <n v="0"/>
    <n v="0"/>
    <n v="1"/>
    <s v="2024-06-17"/>
    <s v="Construtora Alfa"/>
    <s v="Tinta 18L"/>
    <n v="5"/>
    <s v="R$ 30"/>
    <s v="R$ 30"/>
    <m/>
  </r>
  <r>
    <n v="182"/>
    <n v="182"/>
    <s v="INCOMPLETA"/>
    <x v="0"/>
    <s v="PRECO_VAZIA"/>
    <n v="1"/>
    <n v="0"/>
    <n v="0"/>
    <n v="0"/>
    <n v="0"/>
    <n v="0"/>
    <s v="2024-07-18"/>
    <s v="Cliente Final"/>
    <s v="Canos PVC"/>
    <m/>
    <n v="-10"/>
    <s v=""/>
    <s v="São Paulo"/>
  </r>
  <r>
    <n v="183"/>
    <n v="183"/>
    <s v="INCOMPLETA"/>
    <x v="0"/>
    <s v="PRECO_VAZIA"/>
    <n v="1"/>
    <n v="0"/>
    <n v="0"/>
    <n v="0"/>
    <n v="0"/>
    <n v="0"/>
    <s v="2024-01-12"/>
    <s v="Construtora Beta"/>
    <s v="Cimento 50kg"/>
    <n v="10"/>
    <n v="-10"/>
    <s v=""/>
    <s v="Guarulhos"/>
  </r>
  <r>
    <n v="184"/>
    <n v="185"/>
    <s v="INCOMPLETA"/>
    <x v="0"/>
    <s v="PRECO_VAZIA"/>
    <n v="1"/>
    <n v="0"/>
    <n v="0"/>
    <n v="0"/>
    <n v="0"/>
    <n v="0"/>
    <s v="2024-07-09"/>
    <s v="Cliente Final"/>
    <s v="Metais"/>
    <m/>
    <n v="-10"/>
    <s v=""/>
    <s v="Guarulhos"/>
  </r>
  <r>
    <n v="185"/>
    <n v="186"/>
    <s v="INCOMPLETA"/>
    <x v="0"/>
    <s v="PRECO_VAZIA"/>
    <n v="1"/>
    <n v="0"/>
    <n v="0"/>
    <n v="0"/>
    <n v="0"/>
    <n v="0"/>
    <s v="2024-05-12"/>
    <s v="Obras Silva"/>
    <s v="Areia 20kg"/>
    <n v="14"/>
    <m/>
    <s v=""/>
    <s v="Osasco"/>
  </r>
  <r>
    <n v="186"/>
    <n v="187"/>
    <s v="INCOMPLETA"/>
    <x v="0"/>
    <s v="PRECO_VAZIA"/>
    <n v="1"/>
    <n v="0"/>
    <n v="0"/>
    <n v="0"/>
    <n v="0"/>
    <n v="0"/>
    <s v="2024-01-27"/>
    <s v="Construtora Alfa"/>
    <s v="Tinta 18L"/>
    <n v="10"/>
    <n v="-10"/>
    <s v=""/>
    <s v="Campinas"/>
  </r>
  <r>
    <n v="187"/>
    <n v="188"/>
    <s v="INCOMPLETA"/>
    <x v="0"/>
    <s v=""/>
    <n v="0"/>
    <n v="0"/>
    <n v="0"/>
    <n v="0"/>
    <n v="0"/>
    <n v="0"/>
    <s v="2024-03-26"/>
    <s v="Cliente Final"/>
    <s v="Cal Hidratada"/>
    <m/>
    <n v="395.81"/>
    <n v="395.81"/>
    <s v="Santos"/>
  </r>
  <r>
    <n v="188"/>
    <n v="188"/>
    <s v="COMPLETA"/>
    <x v="0"/>
    <s v="QUANTIDADE_NEGATIVA"/>
    <n v="0"/>
    <n v="0"/>
    <n v="0"/>
    <n v="1"/>
    <n v="0"/>
    <n v="0"/>
    <s v="2024-03-30"/>
    <s v="Cliente Final"/>
    <s v="Cimento 50kg"/>
    <n v="-3"/>
    <n v="144.53"/>
    <n v="144.53"/>
    <s v="São Paulo"/>
  </r>
  <r>
    <n v="189"/>
    <n v="189"/>
    <s v="INCOMPLETA"/>
    <x v="0"/>
    <s v="PRECO_VAZIA; PRODUTO_VAZIA"/>
    <n v="1"/>
    <n v="1"/>
    <n v="0"/>
    <n v="0"/>
    <n v="0"/>
    <n v="0"/>
    <s v="2024-04-13"/>
    <s v="Obras Silva"/>
    <m/>
    <n v="6"/>
    <n v="-10"/>
    <s v=""/>
    <s v="São Paulo"/>
  </r>
  <r>
    <n v="190"/>
    <n v="190"/>
    <s v="INCOMPLETA"/>
    <x v="0"/>
    <s v="PRECO_VAZIA"/>
    <n v="1"/>
    <n v="0"/>
    <n v="0"/>
    <n v="0"/>
    <n v="0"/>
    <n v="0"/>
    <s v="2024-03-01"/>
    <s v="Obras Silva"/>
    <s v="Tinta 18L"/>
    <n v="13"/>
    <n v="-10"/>
    <s v=""/>
    <s v="Guarulhos"/>
  </r>
  <r>
    <n v="191"/>
    <n v="191"/>
    <s v="COMPLETA"/>
    <x v="0"/>
    <s v=""/>
    <n v="0"/>
    <n v="0"/>
    <n v="0"/>
    <n v="0"/>
    <n v="0"/>
    <n v="0"/>
    <s v="2024-07-14"/>
    <s v="Construtora Alfa"/>
    <s v="Brita 30kg"/>
    <n v="10"/>
    <s v="R$ 30"/>
    <s v="R$ 30"/>
    <s v="Campinas"/>
  </r>
  <r>
    <n v="192"/>
    <n v="192"/>
    <s v="COMPLETA"/>
    <x v="0"/>
    <s v="QUANTIDADE_NEGATIVA"/>
    <n v="0"/>
    <n v="0"/>
    <n v="0"/>
    <n v="1"/>
    <n v="0"/>
    <n v="0"/>
    <s v="2024-01-07"/>
    <s v="Construtora Beta"/>
    <s v="Canos PVC"/>
    <n v="-3"/>
    <n v="457.64"/>
    <n v="457.64"/>
    <s v="Guarulhos"/>
  </r>
  <r>
    <n v="193"/>
    <n v="193"/>
    <s v="INCOMPLETA"/>
    <x v="0"/>
    <s v="PRECO_VAZIA"/>
    <n v="1"/>
    <n v="0"/>
    <n v="0"/>
    <n v="0"/>
    <n v="0"/>
    <n v="0"/>
    <s v="2024-06-29"/>
    <s v="Cliente Final"/>
    <s v="Cal Hidratada"/>
    <n v="10"/>
    <n v="-10"/>
    <s v=""/>
    <s v="Campinas"/>
  </r>
  <r>
    <n v="194"/>
    <n v="194"/>
    <s v="INCOMPLETA"/>
    <x v="0"/>
    <s v="CIDADE_VAZIA"/>
    <n v="0"/>
    <n v="0"/>
    <n v="0"/>
    <n v="0"/>
    <n v="0"/>
    <n v="1"/>
    <s v="2024-01-19"/>
    <s v="Cliente Final"/>
    <s v="Brita 30kg"/>
    <n v="15"/>
    <s v="R$ 30"/>
    <s v="R$ 30"/>
    <m/>
  </r>
  <r>
    <n v="195"/>
    <n v="195"/>
    <s v="INCOMPLETA"/>
    <x v="0"/>
    <s v="QUANTIDADE_VAZIA; PRECO_VAZIA; CLIENTE_VAZIA; PRODUTO_VAZIA"/>
    <n v="1"/>
    <n v="1"/>
    <n v="1"/>
    <n v="0"/>
    <n v="1"/>
    <n v="0"/>
    <s v="2024-01-17"/>
    <m/>
    <m/>
    <n v="10"/>
    <m/>
    <s v=""/>
    <s v="Guarulhos"/>
  </r>
  <r>
    <n v="196"/>
    <n v="196"/>
    <s v="COMPLETA"/>
    <x v="0"/>
    <s v="QUANTIDADE_NEGATIVA"/>
    <n v="0"/>
    <n v="0"/>
    <n v="0"/>
    <n v="1"/>
    <n v="0"/>
    <n v="0"/>
    <s v="2024-02-01"/>
    <s v="Construtora Beta"/>
    <s v="Brita 30kg"/>
    <n v="-3"/>
    <s v="R$ 30"/>
    <s v="R$ 30"/>
    <s v="Santos"/>
  </r>
  <r>
    <n v="197"/>
    <n v="197"/>
    <s v="INCOMPLETA"/>
    <x v="0"/>
    <s v="PRECO_VAZIA"/>
    <n v="1"/>
    <n v="0"/>
    <n v="0"/>
    <n v="0"/>
    <n v="0"/>
    <n v="0"/>
    <s v="2024-05-21"/>
    <s v="Construtora Beta"/>
    <s v="Areia 20kg"/>
    <n v="10"/>
    <n v="-10"/>
    <s v=""/>
    <s v="Osasco"/>
  </r>
  <r>
    <n v="198"/>
    <n v="198"/>
    <s v="INCOMPLETA"/>
    <x v="0"/>
    <s v="QUANTIDADE_VAZIA; PRECO_VAZIA; CLIENTE_VAZIA"/>
    <n v="1"/>
    <n v="0"/>
    <n v="1"/>
    <n v="0"/>
    <n v="1"/>
    <n v="0"/>
    <s v="2024-04-14"/>
    <m/>
    <s v="Areia 20kg"/>
    <n v="10"/>
    <n v="-10"/>
    <s v=""/>
    <s v="Santos"/>
  </r>
  <r>
    <n v="199"/>
    <n v="199"/>
    <s v="INCOMPLETA"/>
    <x v="0"/>
    <s v="PRECO_VAZIA; PRODUTO_VAZIA"/>
    <n v="1"/>
    <n v="1"/>
    <n v="0"/>
    <n v="0"/>
    <n v="0"/>
    <n v="0"/>
    <s v="2024-03-29"/>
    <s v="Construtora Beta"/>
    <m/>
    <m/>
    <m/>
    <s v=""/>
    <s v="Santo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n v="6"/>
    <s v="COMPLETA"/>
    <s v="OK"/>
    <d v="2024-02-11T00:00:00"/>
    <x v="0"/>
    <x v="0"/>
    <n v="10"/>
    <n v="353.89"/>
    <n v="3538.8999999999996"/>
    <x v="0"/>
  </r>
  <r>
    <n v="2"/>
    <n v="8"/>
    <s v="COMPLETA"/>
    <s v="OK"/>
    <d v="2024-07-15T00:00:00"/>
    <x v="1"/>
    <x v="1"/>
    <n v="10"/>
    <n v="206.57"/>
    <n v="2065.6999999999998"/>
    <x v="1"/>
  </r>
  <r>
    <n v="3"/>
    <n v="13"/>
    <s v="COMPLETA"/>
    <s v="OK"/>
    <d v="2024-05-21T00:00:00"/>
    <x v="1"/>
    <x v="2"/>
    <n v="10"/>
    <n v="30"/>
    <n v="300"/>
    <x v="2"/>
  </r>
  <r>
    <n v="4"/>
    <n v="25"/>
    <s v="COMPLETA"/>
    <s v="OK"/>
    <d v="2024-04-28T00:00:00"/>
    <x v="2"/>
    <x v="2"/>
    <n v="15"/>
    <n v="34.79"/>
    <n v="521.85"/>
    <x v="2"/>
  </r>
  <r>
    <n v="5"/>
    <n v="29"/>
    <s v="COMPLETA"/>
    <s v="OK"/>
    <d v="2024-05-15T00:00:00"/>
    <x v="2"/>
    <x v="3"/>
    <n v="17"/>
    <n v="427.16"/>
    <n v="7261.72"/>
    <x v="0"/>
  </r>
  <r>
    <n v="6"/>
    <n v="32"/>
    <s v="COMPLETA"/>
    <s v="OK"/>
    <d v="2024-03-17T00:00:00"/>
    <x v="3"/>
    <x v="0"/>
    <n v="3"/>
    <n v="234.56"/>
    <n v="703.68000000000006"/>
    <x v="2"/>
  </r>
  <r>
    <n v="7"/>
    <n v="44"/>
    <s v="COMPLETA"/>
    <s v="OK"/>
    <d v="2024-05-17T00:00:00"/>
    <x v="0"/>
    <x v="3"/>
    <n v="10"/>
    <n v="30"/>
    <n v="300"/>
    <x v="2"/>
  </r>
  <r>
    <n v="8"/>
    <n v="48"/>
    <s v="COMPLETA"/>
    <s v="OK"/>
    <d v="2024-04-17T00:00:00"/>
    <x v="3"/>
    <x v="4"/>
    <n v="10"/>
    <n v="208.98"/>
    <n v="2089.7999999999997"/>
    <x v="3"/>
  </r>
  <r>
    <n v="9"/>
    <n v="64"/>
    <s v="COMPLETA"/>
    <s v="OK"/>
    <d v="2024-04-17T00:00:00"/>
    <x v="0"/>
    <x v="2"/>
    <n v="16"/>
    <n v="377.02"/>
    <n v="6032.32"/>
    <x v="3"/>
  </r>
  <r>
    <n v="10"/>
    <n v="81"/>
    <s v="COMPLETA"/>
    <s v="OK"/>
    <d v="2024-01-14T00:00:00"/>
    <x v="0"/>
    <x v="5"/>
    <n v="4"/>
    <n v="206.35"/>
    <n v="825.4"/>
    <x v="0"/>
  </r>
  <r>
    <n v="11"/>
    <n v="107"/>
    <s v="COMPLETA"/>
    <s v="OK"/>
    <d v="2024-03-14T00:00:00"/>
    <x v="2"/>
    <x v="2"/>
    <n v="14"/>
    <n v="382.58"/>
    <n v="5356.12"/>
    <x v="4"/>
  </r>
  <r>
    <n v="12"/>
    <n v="110"/>
    <s v="COMPLETA"/>
    <s v="OK"/>
    <d v="2024-03-31T00:00:00"/>
    <x v="3"/>
    <x v="6"/>
    <n v="15"/>
    <n v="339.95"/>
    <n v="5099.25"/>
    <x v="2"/>
  </r>
  <r>
    <n v="13"/>
    <n v="150"/>
    <s v="COMPLETA"/>
    <s v="OK"/>
    <d v="2024-05-27T00:00:00"/>
    <x v="3"/>
    <x v="6"/>
    <n v="10"/>
    <n v="66.430000000000007"/>
    <n v="664.30000000000007"/>
    <x v="3"/>
  </r>
  <r>
    <n v="14"/>
    <n v="156"/>
    <s v="COMPLETA"/>
    <s v="OK"/>
    <d v="2024-04-22T00:00:00"/>
    <x v="1"/>
    <x v="5"/>
    <n v="10"/>
    <n v="400.2"/>
    <n v="4002"/>
    <x v="3"/>
  </r>
  <r>
    <n v="15"/>
    <n v="180"/>
    <s v="COMPLETA"/>
    <s v="OK"/>
    <d v="2024-01-12T00:00:00"/>
    <x v="3"/>
    <x v="0"/>
    <n v="9"/>
    <n v="184.98"/>
    <n v="1664.8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08"/>
    <n v="0.54"/>
  </r>
  <r>
    <x v="1"/>
    <n v="28"/>
    <n v="0.14000000000000001"/>
  </r>
  <r>
    <x v="2"/>
    <n v="33"/>
    <n v="0.16500000000000001"/>
  </r>
  <r>
    <x v="3"/>
    <n v="48"/>
    <n v="0.16"/>
  </r>
  <r>
    <x v="4"/>
    <n v="42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A8A1E0-DCDE-4909-9E0E-54DC8D28E07C}" name="Tabela dinâ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0">
  <location ref="I23:J28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axis="axisRow" showAll="0" measureFilter="1" sortType="descending">
      <items count="8">
        <item x="2"/>
        <item x="4"/>
        <item x="1"/>
        <item x="5"/>
        <item x="3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44" showAll="0"/>
    <pivotField dataField="1" numFmtId="44" showAll="0"/>
    <pivotField showAll="0"/>
  </pivotFields>
  <rowFields count="1">
    <field x="6"/>
  </rowFields>
  <rowItems count="5">
    <i>
      <x/>
    </i>
    <i>
      <x v="4"/>
    </i>
    <i>
      <x v="6"/>
    </i>
    <i>
      <x v="5"/>
    </i>
    <i>
      <x v="3"/>
    </i>
  </rowItems>
  <colItems count="1">
    <i/>
  </colItems>
  <dataFields count="1">
    <dataField name="Soma de Valor_Total" fld="9" baseField="0" baseItem="0" numFmtId="44"/>
  </dataField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9D433-7FD9-4C28-8FDF-3B914611353E}" name="Tabela dinâ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6">
  <location ref="I53:J58" firstHeaderRow="1" firstDataRow="1" firstDataCol="1"/>
  <pivotFields count="11">
    <pivotField showAll="0"/>
    <pivotField showAll="0"/>
    <pivotField showAll="0"/>
    <pivotField showAll="0"/>
    <pivotField numFmtId="14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numFmtId="44" showAll="0"/>
    <pivotField dataField="1" numFmtId="44"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_Total" fld="9" baseField="0" baseItem="0" numFmtId="44"/>
  </dataField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7D4E5-393B-4CD8-B4EA-AB70BBEFC7B4}" name="Tabela dinâ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9">
  <location ref="I43:J49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showAll="0"/>
    <pivotField showAll="0"/>
    <pivotField numFmtId="44" showAll="0"/>
    <pivotField dataField="1" numFmtId="44" showAll="0"/>
    <pivotField axis="axisRow" showAll="0" sortType="ascending">
      <items count="6">
        <item x="1"/>
        <item x="3"/>
        <item x="0"/>
        <item x="4"/>
        <item x="2"/>
        <item t="default"/>
      </items>
    </pivotField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_Total" fld="9" baseField="0" baseItem="0" numFmtId="44"/>
  </dataFields>
  <chartFormats count="25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6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6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6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C34B89-26F0-4530-9279-13AEEDB4260A}" name="Tabela dinâmica2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7">
  <location ref="I32:J39" firstHeaderRow="1" firstDataRow="1" firstDataCol="1"/>
  <pivotFields count="11">
    <pivotField showAll="0"/>
    <pivotField showAll="0"/>
    <pivotField showAll="0"/>
    <pivotField showAll="0"/>
    <pivotField numFmtId="14" showAll="0"/>
    <pivotField showAll="0"/>
    <pivotField axis="axisRow" showAll="0" sortType="descending">
      <items count="8">
        <item x="2"/>
        <item x="4"/>
        <item x="1"/>
        <item x="5"/>
        <item x="3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44" showAll="0"/>
    <pivotField numFmtId="44" showAll="0"/>
    <pivotField showAll="0"/>
  </pivotFields>
  <rowFields count="1">
    <field x="6"/>
  </rowFields>
  <rowItems count="7">
    <i>
      <x/>
    </i>
    <i>
      <x v="4"/>
    </i>
    <i>
      <x v="5"/>
    </i>
    <i>
      <x v="6"/>
    </i>
    <i>
      <x v="3"/>
    </i>
    <i>
      <x v="2"/>
    </i>
    <i>
      <x v="1"/>
    </i>
  </rowItems>
  <colItems count="1">
    <i/>
  </colItems>
  <dataFields count="1">
    <dataField name="Soma de Quantidade" fld="7" baseField="0" baseItem="0"/>
  </dataFields>
  <chartFormats count="4">
    <chartFormat chart="1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19E2E6-F7A9-4007-B95A-3EAB748A0E7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T9:U12" firstHeaderRow="1" firstDataRow="1" firstDataCol="1"/>
  <pivotFields count="18"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ntagem de Status_Final" fld="3" subtotal="count" showDataAs="percentOfTotal" baseField="0" baseItem="0" numFmtId="10"/>
  </dataFields>
  <formats count="1">
    <format dxfId="24">
      <pivotArea collapsedLevelsAreSubtotals="1" fieldPosition="0">
        <references count="1">
          <reference field="3" count="0"/>
        </references>
      </pivotArea>
    </format>
  </formats>
  <chartFormats count="3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12B5DE-D866-40A5-8E61-913A43B92A3D}" name="Tabela dinâmica8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7">
  <location ref="T16:V21" firstHeaderRow="0" firstDataRow="1" firstDataCol="1"/>
  <pivotFields count="3">
    <pivotField axis="axisRow" showAll="0">
      <items count="6">
        <item x="2"/>
        <item x="0"/>
        <item x="1"/>
        <item x="3"/>
        <item x="4"/>
        <item t="default"/>
      </items>
    </pivotField>
    <pivotField dataField="1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oma de quantidade" fld="1" baseField="0" baseItem="0"/>
    <dataField name="Soma de % por tipo de erro" fld="2" baseField="0" baseItem="0" numFmtId="9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B2D7CF-B829-464D-A5E4-0CD22E47AAB4}" name="Tabela dinâmica5" cacheId="2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30">
  <location ref="AC16:AE21" firstHeaderRow="0" firstDataRow="1" firstDataCol="1"/>
  <pivotFields count="3">
    <pivotField axis="axisRow" showAll="0">
      <items count="6">
        <item x="2"/>
        <item x="0"/>
        <item x="1"/>
        <item x="3"/>
        <item x="4"/>
        <item t="default"/>
      </items>
    </pivotField>
    <pivotField dataField="1" showAll="0"/>
    <pivotField dataField="1" numFmtId="9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Soma de quantidade" fld="1" baseField="0" baseItem="0"/>
    <dataField name="Soma de % por tipo de erro" fld="2" baseField="0" baseItem="0" numFmtId="9"/>
  </dataFields>
  <chartFormats count="2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1B8889-E3AC-42B7-8DB9-8A06B23E9C79}" name="tbl_vendas5" displayName="tbl_vendas5" ref="A1:J201" totalsRowShown="0">
  <autoFilter ref="A1:J201" xr:uid="{4CAC84FC-4DEA-4469-85B2-B6C74010565A}"/>
  <sortState xmlns:xlrd2="http://schemas.microsoft.com/office/spreadsheetml/2017/richdata2" ref="A2:I201">
    <sortCondition ref="A1:A201"/>
  </sortState>
  <tableColumns count="10">
    <tableColumn id="8" xr3:uid="{C302A401-F048-44CD-87EB-581B51F8A799}" name="Sequencia_Correta" dataDxfId="46">
      <calculatedColumnFormula>ROW() -2</calculatedColumnFormula>
    </tableColumn>
    <tableColumn id="1" xr3:uid="{144F19B9-D02F-416F-8960-D86511ED31B5}" name="ID_Venda"/>
    <tableColumn id="10" xr3:uid="{F75DE774-8036-43A0-9925-B5154D70AF12}" name="Status _Linha" dataDxfId="45">
      <calculatedColumnFormula>IF(AND(B2&lt;&gt;"",E2&lt;&gt;"",F2&lt;&gt;"",G2&lt;&gt;"",H2&lt;&gt;"",I2&lt;&gt;"",J2&lt;&gt;""),"COMPLETA","INCOMPLETA")</calculatedColumnFormula>
    </tableColumn>
    <tableColumn id="11" xr3:uid="{8AC635DF-00E9-4741-BE01-FE876BD594EC}" name="Tipo_Erro" dataDxfId="44">
      <calculatedColumnFormula>_xlfn.TEXTJOIN("; ", TRUE,
  IF(H2="", "QUANTIDADE_VAZIA", ""),
  IF(AND(ISNUMBER(H2), H2&lt;0), "QUANTIDADE_NEGATIVA", ""),
  IF(I2="", "PRECO_VAZIA", ""),
  IF(AND(ISNUMBER(I2), I2&lt;0), "PRECO_NEGATIVO", ""),
  IF(AND(I2&lt;&gt;"", NOT(ISNUMBER(I2))), "PRECO_TEXTO", ""),
  IF(F2="", "CLIENTE_VAZIA", ""),
  IF(G2="", "PRODUTO_VAZIA", ""),
  IF(J2="", "CIDADE_VAZIA", ""),
  IF(E2="", "DATA_VAZIA", "")
)</calculatedColumnFormula>
    </tableColumn>
    <tableColumn id="2" xr3:uid="{82E253C5-3297-4DA3-A0F3-FD97D5538C11}" name="Data"/>
    <tableColumn id="3" xr3:uid="{37825125-7BF2-42CA-A791-FB9D611B31EE}" name="Cliente"/>
    <tableColumn id="4" xr3:uid="{18A12DBD-8E05-463B-AC11-424A45E1D0E2}" name="Produto"/>
    <tableColumn id="5" xr3:uid="{592D6EFF-B255-47DA-BD47-8B92370EFF39}" name="Quantidade"/>
    <tableColumn id="6" xr3:uid="{4E0C6620-5044-4B56-BDC8-FDBA37A272D3}" name="Preço_Unitário"/>
    <tableColumn id="7" xr3:uid="{9FD2DDAD-75DB-4582-90E9-A31692471B52}" name="Cidad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6D3026-06CF-4669-A1E9-063A40514C2C}" name="tbl_vendas56" displayName="tbl_vendas56" ref="A1:L201" totalsRowShown="0">
  <autoFilter ref="A1:L201" xr:uid="{4CAC84FC-4DEA-4469-85B2-B6C74010565A}"/>
  <sortState xmlns:xlrd2="http://schemas.microsoft.com/office/spreadsheetml/2017/richdata2" ref="A2:J201">
    <sortCondition ref="A1:A201"/>
  </sortState>
  <tableColumns count="12">
    <tableColumn id="8" xr3:uid="{72F9A9A1-7850-48C0-A7BA-373E7A9CF75D}" name="Sequencia_Correta" dataDxfId="43">
      <calculatedColumnFormula>ROW() -2</calculatedColumnFormula>
    </tableColumn>
    <tableColumn id="1" xr3:uid="{AD3C0635-CE97-4EF6-80AF-86EAD055CB33}" name="ID_Venda"/>
    <tableColumn id="10" xr3:uid="{D444CBF8-F3E2-4912-AC37-7F7E895B5F4B}" name="Status_Dados" dataDxfId="42">
      <calculatedColumnFormula>IF(AND(B2&lt;&gt;"",F2&lt;&gt;"",G2&lt;&gt;"",H2&lt;&gt;"",I2&lt;&gt;"",K2&lt;&gt;"",L2&lt;&gt;""),"COMPLETA","INCOMPLETA")</calculatedColumnFormula>
    </tableColumn>
    <tableColumn id="13" xr3:uid="{7A7A82BB-1D67-4574-AB4A-C2E018A1F3AA}" name="Status_Final" dataDxfId="41">
      <calculatedColumnFormula>IF(AND(C2="COMPLETA", ISNUMBER(I2), I2&gt;0, ISNUMBER(K2), K2&gt;0), "OK", "ERRO")</calculatedColumnFormula>
    </tableColumn>
    <tableColumn id="9" xr3:uid="{CC4F9C19-E423-4AB8-8A39-6438B22EED03}" name="Tipo_Erro" dataDxfId="40">
      <calculatedColumnFormula>_xlfn.TEXTJOIN("; ", TRUE,
  IF(G2="", "QUANTIDADE_VAZIA", ""),
  IF(AND(ISNUMBER(I2), I2&lt;0), "QUANTIDADE_NEGATIVA", ""),
  IF(K2="", "PRECO_VAZIA", ""),
  IF(G2="", "CLIENTE_VAZIA", ""),
  IF(H2="", "PRODUTO_VAZIA", ""),
  IF(L2="", "CIDADE_VAZIA", ""),
  IF(F2="", "DATA_VAZIA", "")
)</calculatedColumnFormula>
    </tableColumn>
    <tableColumn id="2" xr3:uid="{0A4DA12F-8E18-4510-BF75-1A2C3F8BAB8F}" name="Data"/>
    <tableColumn id="3" xr3:uid="{46765484-5396-4CD5-A9C6-8A60E17CA7C4}" name="Cliente"/>
    <tableColumn id="4" xr3:uid="{E1BA0F2A-5FFC-48DE-AF5E-97C6A89B4CD0}" name="Produto"/>
    <tableColumn id="5" xr3:uid="{ED3A69AC-4308-4618-897F-8EC9BB4B1DC7}" name="Quantidade"/>
    <tableColumn id="6" xr3:uid="{B88DD1AF-0D38-4B5C-A84B-C675C5DA344E}" name="Preço_Unitário" dataDxfId="39"/>
    <tableColumn id="14" xr3:uid="{5EC39880-3BC6-42AB-BEE9-FFAE1F3E5E64}" name="Preços_Corrigidos" dataDxfId="38" dataCellStyle="Moeda">
      <calculatedColumnFormula>IF(J2&gt;0, J2, "")</calculatedColumnFormula>
    </tableColumn>
    <tableColumn id="7" xr3:uid="{CA193564-07D0-4B43-8192-7AC666B303BF}" name="Cidad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274F1-5E2A-4F9D-A1EB-20CEE68335E3}" name="Tabela2" displayName="Tabela2" ref="A1:K16" totalsRowShown="0" headerRowDxfId="37" dataDxfId="36">
  <autoFilter ref="A1:K16" xr:uid="{BFA274F1-5E2A-4F9D-A1EB-20CEE68335E3}"/>
  <tableColumns count="11">
    <tableColumn id="1" xr3:uid="{ECEFCECA-C403-4044-8FC0-DAFBB490B1BB}" name="Novo_ID" dataDxfId="35">
      <calculatedColumnFormula>ROW()-1</calculatedColumnFormula>
    </tableColumn>
    <tableColumn id="2" xr3:uid="{2A27B2D7-E613-41FD-8E5C-10AC36C5B2FE}" name="ID_Venda" dataDxfId="34"/>
    <tableColumn id="3" xr3:uid="{11044EFC-C4E1-4544-A4C6-885E9EC686C2}" name="Status_Dados" dataDxfId="33"/>
    <tableColumn id="4" xr3:uid="{592276D7-6CF9-4A9E-A801-20795EED37B8}" name="Status_Final" dataDxfId="32"/>
    <tableColumn id="5" xr3:uid="{6A82FBEA-4281-4559-B581-63BDCBFAA3C2}" name="Data" dataDxfId="31"/>
    <tableColumn id="6" xr3:uid="{383A3D6F-16BC-4B69-B34E-5839F7420CB2}" name="Cliente" dataDxfId="30"/>
    <tableColumn id="7" xr3:uid="{395870DD-8208-41DD-B79F-E38B798033F5}" name="Produto" dataDxfId="29"/>
    <tableColumn id="8" xr3:uid="{2B384307-47B8-48D9-B3A0-B94EFC9DDEC8}" name="Quantidade" dataDxfId="28"/>
    <tableColumn id="9" xr3:uid="{DB7A2C11-6EEA-4A38-9E10-8E612AB6EAD5}" name="Preço_Unitário" dataDxfId="27" dataCellStyle="Moeda"/>
    <tableColumn id="10" xr3:uid="{D7F620BF-2CB8-4CAE-8A20-1A4F9A212E4E}" name="Valor_Total" dataDxfId="26" dataCellStyle="Moeda">
      <calculatedColumnFormula>Tabela2[[#This Row],[Quantidade]] * Tabela2[[#This Row],[Preço_Unitário]]</calculatedColumnFormula>
    </tableColumn>
    <tableColumn id="11" xr3:uid="{C65DE93F-A3D2-4AB5-93C3-3086301C13C7}" name="Cidade" dataDxfId="25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775D4A-483B-44ED-8647-D206C25B7375}" name="tbl_vendas564" displayName="tbl_vendas564" ref="A1:R201" totalsRowShown="0">
  <autoFilter ref="A1:R201" xr:uid="{4CAC84FC-4DEA-4469-85B2-B6C74010565A}"/>
  <sortState xmlns:xlrd2="http://schemas.microsoft.com/office/spreadsheetml/2017/richdata2" ref="A2:P201">
    <sortCondition ref="A1:A201"/>
  </sortState>
  <tableColumns count="18">
    <tableColumn id="8" xr3:uid="{D781E1F7-C207-4A34-83C0-629C3664F0EA}" name="Sequencia_Correta" dataDxfId="23">
      <calculatedColumnFormula>ROW() -2</calculatedColumnFormula>
    </tableColumn>
    <tableColumn id="1" xr3:uid="{3550AE6F-33DA-4EFB-8D89-67D267636248}" name="ID_Venda"/>
    <tableColumn id="10" xr3:uid="{1DDBC111-BCB9-4D8A-A661-6EB18DE19306}" name="Status_Dados" dataDxfId="22">
      <calculatedColumnFormula>IF(AND(B2&lt;&gt;"",L2&lt;&gt;"",M2&lt;&gt;"",N2&lt;&gt;"",O2&lt;&gt;"",Q2&lt;&gt;"",R2&lt;&gt;""),"COMPLETA","INCOMPLETA")</calculatedColumnFormula>
    </tableColumn>
    <tableColumn id="13" xr3:uid="{C86CCDDD-8F7E-48AE-9031-48D17FD66700}" name="Status_Final" dataDxfId="21">
      <calculatedColumnFormula>IF(AND(C2="COMPLETA", ISNUMBER(O2), O2&gt;0, ISNUMBER(Q2), Q2&gt;0), "OK", "ERRO")</calculatedColumnFormula>
    </tableColumn>
    <tableColumn id="9" xr3:uid="{C04B4547-215A-408E-B298-8EFF3DAF2B00}" name="Tipo_Erro" dataDxfId="20">
      <calculatedColumnFormula>_xlfn.TEXTJOIN("; ", TRUE,
  IF(M2="", "QUANTIDADE_VAZIA", ""),
  IF(AND(ISNUMBER(O2), O2&lt;0), "QUANTIDADE_NEGATIVA", ""),
  IF(Q2="", "PRECO_VAZIA", ""),
  IF(M2="", "CLIENTE_VAZIA", ""),
  IF(N2="", "PRODUTO_VAZIA", ""),
  IF(R2="", "CIDADE_VAZIA", ""),
  IF(L2="", "DATA_VAZIA", "")
)</calculatedColumnFormula>
    </tableColumn>
    <tableColumn id="11" xr3:uid="{28998CC6-AEB9-4964-965E-08648EDDBC20}" name="Erro_PRECO_VAZIA" dataDxfId="19">
      <calculatedColumnFormula array="1">IF(ISERR(FIND("PRECO_VAZIA", INDEX(tbl_vendas564[Tipo_Erro], ROW()-ROW(tbl_vendas564[#Headers])))), 0, 1)</calculatedColumnFormula>
    </tableColumn>
    <tableColumn id="12" xr3:uid="{D9DA25D8-8807-4A23-9E43-11F806905886}" name="Erro_PRODUTO_VAZIA" dataDxfId="18">
      <calculatedColumnFormula array="1">IF(ISERR(FIND("PRODUTO_VAZIA", INDEX(tbl_vendas564[Tipo_Erro], ROW()-ROW(tbl_vendas564[#Headers])))), 0, 1)</calculatedColumnFormula>
    </tableColumn>
    <tableColumn id="18" xr3:uid="{B1D106B8-5A2C-44E8-9444-B17AF260B5E7}" name="Erro_CLIENTE_VAZIO" dataDxfId="17">
      <calculatedColumnFormula array="1">IF(ISERR(FIND("CLIENTE_VAZIA", INDEX(tbl_vendas564[Tipo_Erro], ROW()-ROW(tbl_vendas564[#Headers])))), 0, 1)</calculatedColumnFormula>
    </tableColumn>
    <tableColumn id="15" xr3:uid="{43BC89E0-EF58-461F-9DBA-C2120E7E99BB}" name="Erro_QUANTIDADE_NEGATIVA" dataDxfId="16">
      <calculatedColumnFormula array="1">IF(ISERR(FIND("QUANTIDADE_NEGATIVA", INDEX(tbl_vendas564[Tipo_Erro], ROW()-ROW(tbl_vendas564[#Headers])))), 0, 1)</calculatedColumnFormula>
    </tableColumn>
    <tableColumn id="16" xr3:uid="{85277C6B-BF6A-4537-87C9-CE4995156059}" name="Erro_QUANTIDADE_VAZIA" dataDxfId="15">
      <calculatedColumnFormula array="1">IF(ISERR(FIND("QUANTIDADE_VAZIA", INDEX(tbl_vendas564[Tipo_Erro], ROW()-ROW(tbl_vendas564[#Headers])))), 0, 1)</calculatedColumnFormula>
    </tableColumn>
    <tableColumn id="17" xr3:uid="{CB397B17-1B3C-4C5F-9DE9-0C701EA072F7}" name="Erro_CIDADE_VAZIA" dataDxfId="14">
      <calculatedColumnFormula array="1">IF(ISERR(FIND("CIDADE_VAZIA", INDEX(tbl_vendas564[Tipo_Erro], ROW()-ROW(tbl_vendas564[#Headers])))), 0, 1)</calculatedColumnFormula>
    </tableColumn>
    <tableColumn id="2" xr3:uid="{2054B92E-6775-406E-A934-862A0352BDD2}" name="Data"/>
    <tableColumn id="3" xr3:uid="{F9550432-E8E7-4307-AA48-7A75DAA7B03E}" name="Cliente"/>
    <tableColumn id="4" xr3:uid="{CBB86445-B764-4E4D-83E8-6C1998549955}" name="Produto"/>
    <tableColumn id="5" xr3:uid="{F97D2BC9-F3FF-4081-B464-CCB6DD493459}" name="Quantidade"/>
    <tableColumn id="6" xr3:uid="{33580D51-87A7-4328-ACCD-384ECA4FCC9A}" name="Preço_Unitário" dataDxfId="13"/>
    <tableColumn id="14" xr3:uid="{B5E63F71-864B-4A8D-B64A-2CADA8D9A6A2}" name="Preços_Corrigidos" dataDxfId="12" dataCellStyle="Moeda">
      <calculatedColumnFormula>IF(P2&gt;0, P2, "")</calculatedColumnFormula>
    </tableColumn>
    <tableColumn id="7" xr3:uid="{1E51D8C0-3F00-4918-8E43-ADED5FFF6546}" name="Cidad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AF895-1E89-44A4-A0F7-17533E6E4B99}" name="Tabela3" displayName="Tabela3" ref="Z9:AB14" totalsRowShown="0">
  <autoFilter ref="Z9:AB14" xr:uid="{647AF895-1E89-44A4-A0F7-17533E6E4B99}"/>
  <tableColumns count="3">
    <tableColumn id="1" xr3:uid="{21C094F9-1BB9-4205-9E24-DA7BDE6673B2}" name="Tipo de Erro"/>
    <tableColumn id="2" xr3:uid="{7A6333C6-D596-436C-8B44-8908D207DCF9}" name="Quantidade"/>
    <tableColumn id="3" xr3:uid="{301C4480-35B1-4FCF-AA2E-80DC194C9D8C}" name="% por tipo de erro" dataDxfId="11" dataCellStyle="Porcentagem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193DD0-EA96-408E-BE27-77614351333D}" name="Tabela311" displayName="Tabela311" ref="Z16:AA21" totalsRowShown="0">
  <autoFilter ref="Z16:AA21" xr:uid="{01193DD0-EA96-408E-BE27-77614351333D}"/>
  <tableColumns count="2">
    <tableColumn id="1" xr3:uid="{64E778F9-5FFE-4978-912A-993B7F6F84B7}" name="Tipo de Erro"/>
    <tableColumn id="3" xr3:uid="{637D61BF-F4F3-4A1E-88E1-451D3398399A}" name="% por tipo de erro" dataDxfId="10" dataCellStyle="Porcentage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zoomScale="85" zoomScaleNormal="85" workbookViewId="0">
      <selection activeCell="M5" sqref="M5"/>
    </sheetView>
  </sheetViews>
  <sheetFormatPr defaultRowHeight="15" x14ac:dyDescent="0.25"/>
  <cols>
    <col min="1" max="1" width="9.5703125" bestFit="1" customWidth="1"/>
    <col min="2" max="2" width="16" customWidth="1"/>
    <col min="3" max="3" width="30.42578125" customWidth="1"/>
    <col min="4" max="4" width="18.140625" customWidth="1"/>
    <col min="5" max="5" width="11.42578125" bestFit="1" customWidth="1"/>
    <col min="6" max="6" width="18" customWidth="1"/>
    <col min="7" max="7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 t="s">
        <v>7</v>
      </c>
      <c r="C2" t="s">
        <v>8</v>
      </c>
      <c r="D2" t="s">
        <v>9</v>
      </c>
      <c r="F2">
        <v>370.87</v>
      </c>
      <c r="G2" t="s">
        <v>10</v>
      </c>
    </row>
    <row r="3" spans="1:7" x14ac:dyDescent="0.25">
      <c r="A3">
        <v>1</v>
      </c>
      <c r="B3" t="s">
        <v>11</v>
      </c>
      <c r="C3" t="s">
        <v>12</v>
      </c>
      <c r="D3" t="s">
        <v>9</v>
      </c>
      <c r="E3">
        <v>8</v>
      </c>
      <c r="F3">
        <v>-10</v>
      </c>
      <c r="G3" t="s">
        <v>13</v>
      </c>
    </row>
    <row r="4" spans="1:7" x14ac:dyDescent="0.25">
      <c r="A4">
        <v>2</v>
      </c>
      <c r="B4" t="s">
        <v>14</v>
      </c>
      <c r="C4" t="s">
        <v>12</v>
      </c>
      <c r="D4" t="s">
        <v>15</v>
      </c>
      <c r="E4" t="s">
        <v>16</v>
      </c>
      <c r="G4" t="s">
        <v>17</v>
      </c>
    </row>
    <row r="5" spans="1:7" x14ac:dyDescent="0.25">
      <c r="A5">
        <v>3</v>
      </c>
      <c r="B5" t="s">
        <v>18</v>
      </c>
      <c r="C5" t="s">
        <v>12</v>
      </c>
      <c r="D5" t="s">
        <v>19</v>
      </c>
      <c r="E5" t="s">
        <v>16</v>
      </c>
      <c r="F5">
        <v>-10</v>
      </c>
      <c r="G5" t="s">
        <v>10</v>
      </c>
    </row>
    <row r="6" spans="1:7" x14ac:dyDescent="0.25">
      <c r="A6">
        <v>4</v>
      </c>
      <c r="B6" t="s">
        <v>20</v>
      </c>
      <c r="C6" t="s">
        <v>12</v>
      </c>
      <c r="E6" t="s">
        <v>16</v>
      </c>
      <c r="F6">
        <v>292.89999999999998</v>
      </c>
      <c r="G6" t="s">
        <v>21</v>
      </c>
    </row>
    <row r="7" spans="1:7" x14ac:dyDescent="0.25">
      <c r="A7">
        <v>5</v>
      </c>
      <c r="B7" t="s">
        <v>22</v>
      </c>
      <c r="C7" t="s">
        <v>8</v>
      </c>
      <c r="D7" t="s">
        <v>23</v>
      </c>
      <c r="E7">
        <v>8</v>
      </c>
      <c r="F7">
        <v>-10</v>
      </c>
    </row>
    <row r="8" spans="1:7" x14ac:dyDescent="0.25">
      <c r="A8">
        <v>6</v>
      </c>
      <c r="B8" t="s">
        <v>24</v>
      </c>
      <c r="C8" t="s">
        <v>8</v>
      </c>
      <c r="D8" t="s">
        <v>19</v>
      </c>
      <c r="E8" t="s">
        <v>16</v>
      </c>
      <c r="F8">
        <v>353.89</v>
      </c>
      <c r="G8" t="s">
        <v>10</v>
      </c>
    </row>
    <row r="9" spans="1:7" x14ac:dyDescent="0.25">
      <c r="A9">
        <v>7</v>
      </c>
      <c r="B9" t="s">
        <v>25</v>
      </c>
      <c r="C9" t="s">
        <v>26</v>
      </c>
      <c r="D9" t="s">
        <v>15</v>
      </c>
      <c r="E9">
        <v>-3</v>
      </c>
    </row>
    <row r="10" spans="1:7" x14ac:dyDescent="0.25">
      <c r="A10">
        <v>8</v>
      </c>
      <c r="B10" t="s">
        <v>27</v>
      </c>
      <c r="C10" t="s">
        <v>12</v>
      </c>
      <c r="D10" t="s">
        <v>9</v>
      </c>
      <c r="E10" t="s">
        <v>16</v>
      </c>
      <c r="F10">
        <v>206.57</v>
      </c>
      <c r="G10" t="s">
        <v>13</v>
      </c>
    </row>
    <row r="11" spans="1:7" x14ac:dyDescent="0.25">
      <c r="A11">
        <v>9</v>
      </c>
      <c r="B11" t="s">
        <v>28</v>
      </c>
      <c r="C11" t="s">
        <v>8</v>
      </c>
      <c r="D11" t="s">
        <v>9</v>
      </c>
      <c r="E11">
        <v>-3</v>
      </c>
      <c r="F11">
        <v>-10</v>
      </c>
      <c r="G11" t="s">
        <v>13</v>
      </c>
    </row>
    <row r="12" spans="1:7" x14ac:dyDescent="0.25">
      <c r="A12">
        <v>10</v>
      </c>
      <c r="B12" t="s">
        <v>29</v>
      </c>
      <c r="E12">
        <v>-3</v>
      </c>
      <c r="F12">
        <v>-10</v>
      </c>
      <c r="G12" t="s">
        <v>17</v>
      </c>
    </row>
    <row r="13" spans="1:7" x14ac:dyDescent="0.25">
      <c r="A13">
        <v>11</v>
      </c>
      <c r="B13" t="s">
        <v>30</v>
      </c>
      <c r="D13" t="s">
        <v>31</v>
      </c>
      <c r="E13">
        <v>3</v>
      </c>
    </row>
    <row r="14" spans="1:7" x14ac:dyDescent="0.25">
      <c r="A14">
        <v>12</v>
      </c>
      <c r="B14" t="s">
        <v>32</v>
      </c>
      <c r="C14" t="s">
        <v>33</v>
      </c>
      <c r="D14" t="s">
        <v>23</v>
      </c>
      <c r="E14">
        <v>-3</v>
      </c>
      <c r="F14">
        <v>-10</v>
      </c>
      <c r="G14" t="s">
        <v>10</v>
      </c>
    </row>
    <row r="15" spans="1:7" x14ac:dyDescent="0.25">
      <c r="A15">
        <v>13</v>
      </c>
      <c r="B15" t="s">
        <v>34</v>
      </c>
      <c r="C15" t="s">
        <v>12</v>
      </c>
      <c r="D15" t="s">
        <v>23</v>
      </c>
      <c r="E15" t="s">
        <v>16</v>
      </c>
      <c r="F15" t="s">
        <v>35</v>
      </c>
      <c r="G15" t="s">
        <v>21</v>
      </c>
    </row>
    <row r="16" spans="1:7" x14ac:dyDescent="0.25">
      <c r="A16">
        <v>14</v>
      </c>
      <c r="B16" t="s">
        <v>36</v>
      </c>
      <c r="C16" t="s">
        <v>33</v>
      </c>
      <c r="D16" t="s">
        <v>37</v>
      </c>
      <c r="F16">
        <v>258.76</v>
      </c>
    </row>
    <row r="17" spans="1:7" x14ac:dyDescent="0.25">
      <c r="A17">
        <v>15</v>
      </c>
      <c r="B17" t="s">
        <v>38</v>
      </c>
      <c r="D17" t="s">
        <v>9</v>
      </c>
      <c r="E17" t="s">
        <v>16</v>
      </c>
      <c r="F17">
        <v>383.63</v>
      </c>
      <c r="G17" t="s">
        <v>10</v>
      </c>
    </row>
    <row r="18" spans="1:7" x14ac:dyDescent="0.25">
      <c r="A18">
        <v>16</v>
      </c>
      <c r="B18" t="s">
        <v>39</v>
      </c>
      <c r="C18" t="s">
        <v>12</v>
      </c>
      <c r="D18" t="s">
        <v>19</v>
      </c>
      <c r="F18">
        <v>38.380000000000003</v>
      </c>
      <c r="G18" t="s">
        <v>21</v>
      </c>
    </row>
    <row r="19" spans="1:7" x14ac:dyDescent="0.25">
      <c r="A19">
        <v>17</v>
      </c>
      <c r="B19" t="s">
        <v>40</v>
      </c>
      <c r="D19" t="s">
        <v>15</v>
      </c>
      <c r="E19">
        <v>-3</v>
      </c>
      <c r="G19" t="s">
        <v>17</v>
      </c>
    </row>
    <row r="20" spans="1:7" x14ac:dyDescent="0.25">
      <c r="A20">
        <v>18</v>
      </c>
      <c r="B20" t="s">
        <v>41</v>
      </c>
      <c r="C20" t="s">
        <v>33</v>
      </c>
      <c r="D20" t="s">
        <v>9</v>
      </c>
      <c r="F20">
        <v>-10</v>
      </c>
    </row>
    <row r="21" spans="1:7" x14ac:dyDescent="0.25">
      <c r="A21">
        <v>19</v>
      </c>
      <c r="B21" t="s">
        <v>42</v>
      </c>
      <c r="D21" t="s">
        <v>31</v>
      </c>
      <c r="F21" t="s">
        <v>35</v>
      </c>
      <c r="G21" t="s">
        <v>21</v>
      </c>
    </row>
    <row r="22" spans="1:7" x14ac:dyDescent="0.25">
      <c r="A22">
        <v>20</v>
      </c>
      <c r="B22" t="s">
        <v>43</v>
      </c>
      <c r="D22" t="s">
        <v>9</v>
      </c>
      <c r="E22">
        <v>1</v>
      </c>
      <c r="F22">
        <v>356.84</v>
      </c>
      <c r="G22" t="s">
        <v>13</v>
      </c>
    </row>
    <row r="23" spans="1:7" x14ac:dyDescent="0.25">
      <c r="A23">
        <v>8</v>
      </c>
      <c r="B23" t="s">
        <v>44</v>
      </c>
      <c r="C23" t="s">
        <v>12</v>
      </c>
      <c r="E23" t="s">
        <v>16</v>
      </c>
      <c r="G23" t="s">
        <v>10</v>
      </c>
    </row>
    <row r="24" spans="1:7" x14ac:dyDescent="0.25">
      <c r="A24">
        <v>22</v>
      </c>
      <c r="B24" t="s">
        <v>45</v>
      </c>
      <c r="D24" t="s">
        <v>31</v>
      </c>
      <c r="E24">
        <v>-3</v>
      </c>
      <c r="G24" t="s">
        <v>21</v>
      </c>
    </row>
    <row r="25" spans="1:7" x14ac:dyDescent="0.25">
      <c r="A25">
        <v>110</v>
      </c>
      <c r="B25" t="s">
        <v>46</v>
      </c>
      <c r="C25" t="s">
        <v>33</v>
      </c>
      <c r="D25" t="s">
        <v>47</v>
      </c>
      <c r="E25">
        <v>15</v>
      </c>
      <c r="F25">
        <v>339.95</v>
      </c>
      <c r="G25" t="s">
        <v>21</v>
      </c>
    </row>
    <row r="26" spans="1:7" x14ac:dyDescent="0.25">
      <c r="A26">
        <v>24</v>
      </c>
      <c r="B26" t="s">
        <v>48</v>
      </c>
      <c r="C26" t="s">
        <v>12</v>
      </c>
      <c r="D26" t="s">
        <v>9</v>
      </c>
      <c r="G26" t="s">
        <v>49</v>
      </c>
    </row>
    <row r="27" spans="1:7" x14ac:dyDescent="0.25">
      <c r="A27">
        <v>25</v>
      </c>
      <c r="B27" t="s">
        <v>50</v>
      </c>
      <c r="C27" t="s">
        <v>26</v>
      </c>
      <c r="D27" t="s">
        <v>23</v>
      </c>
      <c r="E27">
        <v>15</v>
      </c>
      <c r="F27">
        <v>34.79</v>
      </c>
      <c r="G27" t="s">
        <v>21</v>
      </c>
    </row>
    <row r="28" spans="1:7" x14ac:dyDescent="0.25">
      <c r="A28">
        <v>26</v>
      </c>
      <c r="B28" t="s">
        <v>51</v>
      </c>
      <c r="C28" t="s">
        <v>26</v>
      </c>
      <c r="D28" t="s">
        <v>47</v>
      </c>
      <c r="E28">
        <v>-3</v>
      </c>
      <c r="F28">
        <v>-10</v>
      </c>
      <c r="G28" t="s">
        <v>21</v>
      </c>
    </row>
    <row r="29" spans="1:7" x14ac:dyDescent="0.25">
      <c r="A29">
        <v>27</v>
      </c>
      <c r="B29" t="s">
        <v>52</v>
      </c>
      <c r="C29" t="s">
        <v>33</v>
      </c>
      <c r="D29" t="s">
        <v>53</v>
      </c>
      <c r="E29" t="s">
        <v>16</v>
      </c>
      <c r="F29">
        <v>-10</v>
      </c>
      <c r="G29" t="s">
        <v>13</v>
      </c>
    </row>
    <row r="30" spans="1:7" x14ac:dyDescent="0.25">
      <c r="A30">
        <v>28</v>
      </c>
      <c r="B30" t="s">
        <v>54</v>
      </c>
      <c r="C30" t="s">
        <v>12</v>
      </c>
      <c r="E30" t="s">
        <v>16</v>
      </c>
      <c r="F30">
        <v>-10</v>
      </c>
      <c r="G30" t="s">
        <v>10</v>
      </c>
    </row>
    <row r="31" spans="1:7" x14ac:dyDescent="0.25">
      <c r="A31">
        <v>29</v>
      </c>
      <c r="B31" t="s">
        <v>55</v>
      </c>
      <c r="C31" t="s">
        <v>26</v>
      </c>
      <c r="D31" t="s">
        <v>37</v>
      </c>
      <c r="E31">
        <v>17</v>
      </c>
      <c r="F31">
        <v>427.16</v>
      </c>
      <c r="G31" t="s">
        <v>10</v>
      </c>
    </row>
    <row r="32" spans="1:7" x14ac:dyDescent="0.25">
      <c r="A32">
        <v>60</v>
      </c>
      <c r="B32" t="s">
        <v>56</v>
      </c>
      <c r="C32" t="s">
        <v>12</v>
      </c>
      <c r="D32" t="s">
        <v>9</v>
      </c>
      <c r="E32">
        <v>19</v>
      </c>
      <c r="F32">
        <v>-10</v>
      </c>
    </row>
    <row r="33" spans="1:7" x14ac:dyDescent="0.25">
      <c r="A33">
        <v>31</v>
      </c>
      <c r="B33" t="s">
        <v>57</v>
      </c>
      <c r="C33" t="s">
        <v>8</v>
      </c>
      <c r="D33" t="s">
        <v>53</v>
      </c>
      <c r="E33" t="s">
        <v>16</v>
      </c>
      <c r="F33">
        <v>-10</v>
      </c>
      <c r="G33" t="s">
        <v>13</v>
      </c>
    </row>
    <row r="34" spans="1:7" x14ac:dyDescent="0.25">
      <c r="A34">
        <v>32</v>
      </c>
      <c r="B34" t="s">
        <v>58</v>
      </c>
      <c r="C34" t="s">
        <v>33</v>
      </c>
      <c r="D34" t="s">
        <v>19</v>
      </c>
      <c r="E34">
        <v>3</v>
      </c>
      <c r="F34">
        <v>234.56</v>
      </c>
      <c r="G34" t="s">
        <v>21</v>
      </c>
    </row>
    <row r="35" spans="1:7" x14ac:dyDescent="0.25">
      <c r="A35">
        <v>33</v>
      </c>
      <c r="B35" t="s">
        <v>59</v>
      </c>
      <c r="C35" t="s">
        <v>8</v>
      </c>
      <c r="D35" t="s">
        <v>15</v>
      </c>
      <c r="E35">
        <v>12</v>
      </c>
      <c r="F35" t="s">
        <v>35</v>
      </c>
      <c r="G35" t="s">
        <v>17</v>
      </c>
    </row>
    <row r="36" spans="1:7" x14ac:dyDescent="0.25">
      <c r="A36">
        <v>34</v>
      </c>
      <c r="B36" t="s">
        <v>60</v>
      </c>
      <c r="C36" t="s">
        <v>8</v>
      </c>
      <c r="E36" t="s">
        <v>16</v>
      </c>
      <c r="F36">
        <v>466.56</v>
      </c>
      <c r="G36" t="s">
        <v>13</v>
      </c>
    </row>
    <row r="37" spans="1:7" x14ac:dyDescent="0.25">
      <c r="A37">
        <v>35</v>
      </c>
      <c r="B37" t="s">
        <v>61</v>
      </c>
      <c r="D37" t="s">
        <v>15</v>
      </c>
      <c r="E37" t="s">
        <v>16</v>
      </c>
      <c r="F37" t="s">
        <v>35</v>
      </c>
      <c r="G37" t="s">
        <v>13</v>
      </c>
    </row>
    <row r="38" spans="1:7" x14ac:dyDescent="0.25">
      <c r="A38">
        <v>36</v>
      </c>
      <c r="B38" t="s">
        <v>62</v>
      </c>
      <c r="D38" t="s">
        <v>31</v>
      </c>
      <c r="E38">
        <v>9</v>
      </c>
      <c r="F38">
        <v>-10</v>
      </c>
      <c r="G38" t="s">
        <v>17</v>
      </c>
    </row>
    <row r="39" spans="1:7" x14ac:dyDescent="0.25">
      <c r="A39">
        <v>85</v>
      </c>
      <c r="B39" t="s">
        <v>22</v>
      </c>
      <c r="C39" t="s">
        <v>26</v>
      </c>
      <c r="D39" t="s">
        <v>53</v>
      </c>
      <c r="E39">
        <v>-3</v>
      </c>
      <c r="F39">
        <v>-10</v>
      </c>
      <c r="G39" t="s">
        <v>10</v>
      </c>
    </row>
    <row r="40" spans="1:7" x14ac:dyDescent="0.25">
      <c r="A40">
        <v>19</v>
      </c>
      <c r="B40" t="s">
        <v>63</v>
      </c>
      <c r="C40" t="s">
        <v>26</v>
      </c>
      <c r="E40" t="s">
        <v>16</v>
      </c>
      <c r="G40" t="s">
        <v>49</v>
      </c>
    </row>
    <row r="41" spans="1:7" x14ac:dyDescent="0.25">
      <c r="A41">
        <v>39</v>
      </c>
      <c r="B41" t="s">
        <v>64</v>
      </c>
      <c r="C41" t="s">
        <v>8</v>
      </c>
      <c r="D41" t="s">
        <v>37</v>
      </c>
      <c r="F41">
        <v>344.21</v>
      </c>
      <c r="G41" t="s">
        <v>17</v>
      </c>
    </row>
    <row r="42" spans="1:7" x14ac:dyDescent="0.25">
      <c r="A42">
        <v>40</v>
      </c>
      <c r="B42" t="s">
        <v>65</v>
      </c>
      <c r="D42" t="s">
        <v>15</v>
      </c>
      <c r="G42" t="s">
        <v>49</v>
      </c>
    </row>
    <row r="43" spans="1:7" x14ac:dyDescent="0.25">
      <c r="A43">
        <v>188</v>
      </c>
      <c r="B43" t="s">
        <v>66</v>
      </c>
      <c r="C43" t="s">
        <v>33</v>
      </c>
      <c r="D43" t="s">
        <v>9</v>
      </c>
      <c r="F43">
        <v>395.81</v>
      </c>
      <c r="G43" t="s">
        <v>49</v>
      </c>
    </row>
    <row r="44" spans="1:7" x14ac:dyDescent="0.25">
      <c r="A44">
        <v>42</v>
      </c>
      <c r="B44" t="s">
        <v>67</v>
      </c>
      <c r="C44" t="s">
        <v>26</v>
      </c>
      <c r="D44" t="s">
        <v>9</v>
      </c>
      <c r="E44" t="s">
        <v>16</v>
      </c>
      <c r="G44" t="s">
        <v>13</v>
      </c>
    </row>
    <row r="45" spans="1:7" x14ac:dyDescent="0.25">
      <c r="A45">
        <v>49</v>
      </c>
      <c r="B45" t="s">
        <v>68</v>
      </c>
      <c r="C45" t="s">
        <v>8</v>
      </c>
      <c r="D45" t="s">
        <v>53</v>
      </c>
      <c r="E45" t="s">
        <v>16</v>
      </c>
      <c r="F45">
        <v>-10</v>
      </c>
    </row>
    <row r="46" spans="1:7" x14ac:dyDescent="0.25">
      <c r="A46">
        <v>44</v>
      </c>
      <c r="B46" t="s">
        <v>69</v>
      </c>
      <c r="C46" t="s">
        <v>8</v>
      </c>
      <c r="D46" t="s">
        <v>37</v>
      </c>
      <c r="E46" t="s">
        <v>16</v>
      </c>
      <c r="F46" t="s">
        <v>35</v>
      </c>
      <c r="G46" t="s">
        <v>21</v>
      </c>
    </row>
    <row r="47" spans="1:7" x14ac:dyDescent="0.25">
      <c r="A47">
        <v>45</v>
      </c>
      <c r="B47" t="s">
        <v>70</v>
      </c>
      <c r="C47" t="s">
        <v>8</v>
      </c>
      <c r="D47" t="s">
        <v>19</v>
      </c>
      <c r="E47">
        <v>14</v>
      </c>
      <c r="G47" t="s">
        <v>17</v>
      </c>
    </row>
    <row r="48" spans="1:7" x14ac:dyDescent="0.25">
      <c r="A48">
        <v>111</v>
      </c>
      <c r="B48" t="s">
        <v>52</v>
      </c>
      <c r="E48" t="s">
        <v>16</v>
      </c>
      <c r="F48" t="s">
        <v>35</v>
      </c>
      <c r="G48" t="s">
        <v>10</v>
      </c>
    </row>
    <row r="49" spans="1:7" x14ac:dyDescent="0.25">
      <c r="A49">
        <v>47</v>
      </c>
      <c r="B49" t="s">
        <v>71</v>
      </c>
      <c r="C49" t="s">
        <v>8</v>
      </c>
      <c r="E49">
        <v>-3</v>
      </c>
      <c r="F49" t="s">
        <v>35</v>
      </c>
      <c r="G49" t="s">
        <v>10</v>
      </c>
    </row>
    <row r="50" spans="1:7" x14ac:dyDescent="0.25">
      <c r="A50">
        <v>48</v>
      </c>
      <c r="B50" t="s">
        <v>72</v>
      </c>
      <c r="C50" t="s">
        <v>33</v>
      </c>
      <c r="D50" t="s">
        <v>15</v>
      </c>
      <c r="E50" t="s">
        <v>16</v>
      </c>
      <c r="F50">
        <v>208.98</v>
      </c>
      <c r="G50" t="s">
        <v>17</v>
      </c>
    </row>
    <row r="51" spans="1:7" x14ac:dyDescent="0.25">
      <c r="A51">
        <v>49</v>
      </c>
      <c r="B51" t="s">
        <v>73</v>
      </c>
      <c r="D51" t="s">
        <v>19</v>
      </c>
      <c r="E51">
        <v>-3</v>
      </c>
      <c r="G51" t="s">
        <v>10</v>
      </c>
    </row>
    <row r="52" spans="1:7" x14ac:dyDescent="0.25">
      <c r="A52">
        <v>50</v>
      </c>
      <c r="B52" t="s">
        <v>74</v>
      </c>
      <c r="C52" t="s">
        <v>26</v>
      </c>
      <c r="D52" t="s">
        <v>23</v>
      </c>
      <c r="E52" t="s">
        <v>16</v>
      </c>
    </row>
    <row r="53" spans="1:7" x14ac:dyDescent="0.25">
      <c r="A53">
        <v>51</v>
      </c>
      <c r="B53" t="s">
        <v>75</v>
      </c>
      <c r="C53" t="s">
        <v>26</v>
      </c>
      <c r="D53" t="s">
        <v>37</v>
      </c>
      <c r="F53">
        <v>492.13</v>
      </c>
      <c r="G53" t="s">
        <v>49</v>
      </c>
    </row>
    <row r="54" spans="1:7" x14ac:dyDescent="0.25">
      <c r="A54">
        <v>52</v>
      </c>
      <c r="B54" t="s">
        <v>76</v>
      </c>
      <c r="D54" t="s">
        <v>9</v>
      </c>
      <c r="E54">
        <v>-3</v>
      </c>
    </row>
    <row r="55" spans="1:7" x14ac:dyDescent="0.25">
      <c r="A55">
        <v>53</v>
      </c>
      <c r="B55" t="s">
        <v>77</v>
      </c>
      <c r="C55" t="s">
        <v>12</v>
      </c>
      <c r="D55" t="s">
        <v>47</v>
      </c>
      <c r="F55">
        <v>-10</v>
      </c>
      <c r="G55" t="s">
        <v>21</v>
      </c>
    </row>
    <row r="56" spans="1:7" x14ac:dyDescent="0.25">
      <c r="A56">
        <v>54</v>
      </c>
      <c r="B56" t="s">
        <v>71</v>
      </c>
      <c r="C56" t="s">
        <v>33</v>
      </c>
      <c r="D56" t="s">
        <v>15</v>
      </c>
      <c r="E56" t="s">
        <v>16</v>
      </c>
      <c r="F56">
        <v>-10</v>
      </c>
      <c r="G56" t="s">
        <v>10</v>
      </c>
    </row>
    <row r="57" spans="1:7" x14ac:dyDescent="0.25">
      <c r="A57">
        <v>55</v>
      </c>
      <c r="B57" t="s">
        <v>59</v>
      </c>
      <c r="C57" t="s">
        <v>33</v>
      </c>
      <c r="F57">
        <v>-10</v>
      </c>
      <c r="G57" t="s">
        <v>49</v>
      </c>
    </row>
    <row r="58" spans="1:7" x14ac:dyDescent="0.25">
      <c r="A58">
        <v>56</v>
      </c>
      <c r="B58" t="s">
        <v>29</v>
      </c>
      <c r="C58" t="s">
        <v>8</v>
      </c>
      <c r="F58">
        <v>144.55000000000001</v>
      </c>
    </row>
    <row r="59" spans="1:7" x14ac:dyDescent="0.25">
      <c r="A59">
        <v>57</v>
      </c>
      <c r="B59" t="s">
        <v>78</v>
      </c>
      <c r="C59" t="s">
        <v>8</v>
      </c>
      <c r="D59" t="s">
        <v>19</v>
      </c>
      <c r="E59">
        <v>18</v>
      </c>
      <c r="G59" t="s">
        <v>49</v>
      </c>
    </row>
    <row r="60" spans="1:7" x14ac:dyDescent="0.25">
      <c r="A60">
        <v>58</v>
      </c>
      <c r="B60" t="s">
        <v>79</v>
      </c>
      <c r="C60" t="s">
        <v>26</v>
      </c>
      <c r="D60" t="s">
        <v>23</v>
      </c>
      <c r="E60">
        <v>-3</v>
      </c>
      <c r="F60">
        <v>-10</v>
      </c>
      <c r="G60" t="s">
        <v>49</v>
      </c>
    </row>
    <row r="61" spans="1:7" x14ac:dyDescent="0.25">
      <c r="A61">
        <v>107</v>
      </c>
      <c r="B61" t="s">
        <v>80</v>
      </c>
      <c r="D61" t="s">
        <v>37</v>
      </c>
      <c r="E61">
        <v>-3</v>
      </c>
      <c r="F61" t="s">
        <v>35</v>
      </c>
      <c r="G61" t="s">
        <v>17</v>
      </c>
    </row>
    <row r="62" spans="1:7" x14ac:dyDescent="0.25">
      <c r="A62">
        <v>60</v>
      </c>
      <c r="B62" t="s">
        <v>72</v>
      </c>
      <c r="F62" t="s">
        <v>35</v>
      </c>
      <c r="G62" t="s">
        <v>49</v>
      </c>
    </row>
    <row r="63" spans="1:7" x14ac:dyDescent="0.25">
      <c r="A63">
        <v>61</v>
      </c>
      <c r="B63" t="s">
        <v>80</v>
      </c>
      <c r="C63" t="s">
        <v>8</v>
      </c>
      <c r="D63" t="s">
        <v>47</v>
      </c>
      <c r="E63">
        <v>-3</v>
      </c>
      <c r="F63">
        <v>460.58</v>
      </c>
      <c r="G63" t="s">
        <v>49</v>
      </c>
    </row>
    <row r="64" spans="1:7" x14ac:dyDescent="0.25">
      <c r="A64">
        <v>62</v>
      </c>
      <c r="B64" t="s">
        <v>81</v>
      </c>
      <c r="C64" t="s">
        <v>12</v>
      </c>
      <c r="D64" t="s">
        <v>23</v>
      </c>
      <c r="G64" t="s">
        <v>21</v>
      </c>
    </row>
    <row r="65" spans="1:7" x14ac:dyDescent="0.25">
      <c r="A65">
        <v>63</v>
      </c>
      <c r="B65" t="s">
        <v>82</v>
      </c>
      <c r="C65" t="s">
        <v>26</v>
      </c>
      <c r="D65" t="s">
        <v>31</v>
      </c>
      <c r="E65" t="s">
        <v>16</v>
      </c>
      <c r="F65">
        <v>-10</v>
      </c>
      <c r="G65" t="s">
        <v>17</v>
      </c>
    </row>
    <row r="66" spans="1:7" x14ac:dyDescent="0.25">
      <c r="A66">
        <v>64</v>
      </c>
      <c r="B66" t="s">
        <v>72</v>
      </c>
      <c r="C66" t="s">
        <v>8</v>
      </c>
      <c r="D66" t="s">
        <v>23</v>
      </c>
      <c r="E66">
        <v>16</v>
      </c>
      <c r="F66">
        <v>377.02</v>
      </c>
      <c r="G66" t="s">
        <v>17</v>
      </c>
    </row>
    <row r="67" spans="1:7" x14ac:dyDescent="0.25">
      <c r="A67">
        <v>65</v>
      </c>
      <c r="B67" t="s">
        <v>40</v>
      </c>
      <c r="C67" t="s">
        <v>12</v>
      </c>
      <c r="D67" t="s">
        <v>37</v>
      </c>
      <c r="G67" t="s">
        <v>13</v>
      </c>
    </row>
    <row r="68" spans="1:7" x14ac:dyDescent="0.25">
      <c r="A68">
        <v>66</v>
      </c>
      <c r="B68" t="s">
        <v>83</v>
      </c>
      <c r="C68" t="s">
        <v>12</v>
      </c>
      <c r="D68" t="s">
        <v>9</v>
      </c>
      <c r="E68" t="s">
        <v>16</v>
      </c>
      <c r="G68" t="s">
        <v>10</v>
      </c>
    </row>
    <row r="69" spans="1:7" x14ac:dyDescent="0.25">
      <c r="A69">
        <v>67</v>
      </c>
      <c r="B69" t="s">
        <v>84</v>
      </c>
      <c r="C69" t="s">
        <v>12</v>
      </c>
      <c r="D69" t="s">
        <v>15</v>
      </c>
      <c r="E69">
        <v>10</v>
      </c>
      <c r="F69" t="s">
        <v>35</v>
      </c>
      <c r="G69" t="s">
        <v>10</v>
      </c>
    </row>
    <row r="70" spans="1:7" x14ac:dyDescent="0.25">
      <c r="A70">
        <v>68</v>
      </c>
      <c r="B70" t="s">
        <v>20</v>
      </c>
      <c r="C70" t="s">
        <v>33</v>
      </c>
      <c r="D70" t="s">
        <v>9</v>
      </c>
      <c r="F70" t="s">
        <v>35</v>
      </c>
    </row>
    <row r="71" spans="1:7" x14ac:dyDescent="0.25">
      <c r="A71">
        <v>69</v>
      </c>
      <c r="B71" t="s">
        <v>85</v>
      </c>
      <c r="D71" t="s">
        <v>37</v>
      </c>
      <c r="E71">
        <v>-3</v>
      </c>
      <c r="F71">
        <v>334.15</v>
      </c>
      <c r="G71" t="s">
        <v>10</v>
      </c>
    </row>
    <row r="72" spans="1:7" x14ac:dyDescent="0.25">
      <c r="A72">
        <v>70</v>
      </c>
      <c r="B72" t="s">
        <v>86</v>
      </c>
      <c r="C72" t="s">
        <v>33</v>
      </c>
      <c r="D72" t="s">
        <v>31</v>
      </c>
      <c r="E72">
        <v>-3</v>
      </c>
      <c r="F72">
        <v>-10</v>
      </c>
    </row>
    <row r="73" spans="1:7" x14ac:dyDescent="0.25">
      <c r="A73">
        <v>71</v>
      </c>
      <c r="B73" t="s">
        <v>87</v>
      </c>
      <c r="D73" t="s">
        <v>53</v>
      </c>
      <c r="E73">
        <v>-3</v>
      </c>
      <c r="F73" t="s">
        <v>35</v>
      </c>
      <c r="G73" t="s">
        <v>17</v>
      </c>
    </row>
    <row r="74" spans="1:7" x14ac:dyDescent="0.25">
      <c r="A74">
        <v>72</v>
      </c>
      <c r="B74" t="s">
        <v>88</v>
      </c>
      <c r="C74" t="s">
        <v>8</v>
      </c>
      <c r="D74" t="s">
        <v>31</v>
      </c>
      <c r="E74">
        <v>-3</v>
      </c>
      <c r="F74">
        <v>-10</v>
      </c>
      <c r="G74" t="s">
        <v>17</v>
      </c>
    </row>
    <row r="75" spans="1:7" x14ac:dyDescent="0.25">
      <c r="A75">
        <v>83</v>
      </c>
      <c r="B75" t="s">
        <v>89</v>
      </c>
      <c r="C75" t="s">
        <v>33</v>
      </c>
      <c r="D75" t="s">
        <v>9</v>
      </c>
      <c r="E75" t="s">
        <v>16</v>
      </c>
      <c r="F75" t="s">
        <v>35</v>
      </c>
      <c r="G75" t="s">
        <v>10</v>
      </c>
    </row>
    <row r="76" spans="1:7" x14ac:dyDescent="0.25">
      <c r="A76">
        <v>48</v>
      </c>
      <c r="B76" t="s">
        <v>90</v>
      </c>
      <c r="C76" t="s">
        <v>26</v>
      </c>
      <c r="D76" t="s">
        <v>47</v>
      </c>
      <c r="F76">
        <v>-10</v>
      </c>
      <c r="G76" t="s">
        <v>49</v>
      </c>
    </row>
    <row r="77" spans="1:7" x14ac:dyDescent="0.25">
      <c r="A77">
        <v>75</v>
      </c>
      <c r="B77" t="s">
        <v>91</v>
      </c>
      <c r="C77" t="s">
        <v>8</v>
      </c>
      <c r="D77" t="s">
        <v>9</v>
      </c>
      <c r="F77" t="s">
        <v>35</v>
      </c>
      <c r="G77" t="s">
        <v>49</v>
      </c>
    </row>
    <row r="78" spans="1:7" x14ac:dyDescent="0.25">
      <c r="A78">
        <v>76</v>
      </c>
      <c r="B78" t="s">
        <v>92</v>
      </c>
      <c r="C78" t="s">
        <v>33</v>
      </c>
      <c r="E78" t="s">
        <v>16</v>
      </c>
      <c r="F78" t="s">
        <v>35</v>
      </c>
      <c r="G78" t="s">
        <v>17</v>
      </c>
    </row>
    <row r="79" spans="1:7" x14ac:dyDescent="0.25">
      <c r="A79">
        <v>77</v>
      </c>
      <c r="B79" t="s">
        <v>85</v>
      </c>
      <c r="C79" t="s">
        <v>26</v>
      </c>
      <c r="D79" t="s">
        <v>19</v>
      </c>
      <c r="F79">
        <v>-10</v>
      </c>
      <c r="G79" t="s">
        <v>17</v>
      </c>
    </row>
    <row r="80" spans="1:7" x14ac:dyDescent="0.25">
      <c r="A80">
        <v>78</v>
      </c>
      <c r="B80" t="s">
        <v>93</v>
      </c>
      <c r="D80" t="s">
        <v>53</v>
      </c>
      <c r="F80" t="s">
        <v>35</v>
      </c>
      <c r="G80" t="s">
        <v>13</v>
      </c>
    </row>
    <row r="81" spans="1:7" x14ac:dyDescent="0.25">
      <c r="A81">
        <v>79</v>
      </c>
      <c r="B81" t="s">
        <v>94</v>
      </c>
      <c r="D81" t="s">
        <v>15</v>
      </c>
      <c r="E81">
        <v>9</v>
      </c>
      <c r="F81" t="s">
        <v>35</v>
      </c>
    </row>
    <row r="82" spans="1:7" x14ac:dyDescent="0.25">
      <c r="A82">
        <v>80</v>
      </c>
      <c r="B82" t="s">
        <v>38</v>
      </c>
      <c r="C82" t="s">
        <v>33</v>
      </c>
      <c r="D82" t="s">
        <v>23</v>
      </c>
      <c r="E82" t="s">
        <v>16</v>
      </c>
      <c r="F82">
        <v>-10</v>
      </c>
      <c r="G82" t="s">
        <v>17</v>
      </c>
    </row>
    <row r="83" spans="1:7" x14ac:dyDescent="0.25">
      <c r="A83">
        <v>81</v>
      </c>
      <c r="B83" t="s">
        <v>95</v>
      </c>
      <c r="C83" t="s">
        <v>8</v>
      </c>
      <c r="D83" t="s">
        <v>31</v>
      </c>
      <c r="E83">
        <v>4</v>
      </c>
      <c r="F83">
        <v>206.35</v>
      </c>
      <c r="G83" t="s">
        <v>10</v>
      </c>
    </row>
    <row r="84" spans="1:7" x14ac:dyDescent="0.25">
      <c r="A84">
        <v>82</v>
      </c>
      <c r="B84" t="s">
        <v>95</v>
      </c>
      <c r="C84" t="s">
        <v>26</v>
      </c>
      <c r="D84" t="s">
        <v>15</v>
      </c>
      <c r="E84" t="s">
        <v>16</v>
      </c>
      <c r="G84" t="s">
        <v>21</v>
      </c>
    </row>
    <row r="85" spans="1:7" x14ac:dyDescent="0.25">
      <c r="A85">
        <v>83</v>
      </c>
      <c r="B85" t="s">
        <v>96</v>
      </c>
      <c r="D85" t="s">
        <v>9</v>
      </c>
      <c r="E85">
        <v>-3</v>
      </c>
      <c r="F85">
        <v>-10</v>
      </c>
      <c r="G85" t="s">
        <v>17</v>
      </c>
    </row>
    <row r="86" spans="1:7" x14ac:dyDescent="0.25">
      <c r="A86">
        <v>84</v>
      </c>
      <c r="B86" t="s">
        <v>97</v>
      </c>
      <c r="C86" t="s">
        <v>8</v>
      </c>
      <c r="D86" t="s">
        <v>37</v>
      </c>
      <c r="E86">
        <v>20</v>
      </c>
    </row>
    <row r="87" spans="1:7" x14ac:dyDescent="0.25">
      <c r="A87">
        <v>85</v>
      </c>
      <c r="B87" t="s">
        <v>81</v>
      </c>
      <c r="C87" t="s">
        <v>12</v>
      </c>
      <c r="D87" t="s">
        <v>15</v>
      </c>
      <c r="G87" t="s">
        <v>21</v>
      </c>
    </row>
    <row r="88" spans="1:7" x14ac:dyDescent="0.25">
      <c r="A88">
        <v>86</v>
      </c>
      <c r="B88" t="s">
        <v>63</v>
      </c>
      <c r="D88" t="s">
        <v>31</v>
      </c>
      <c r="E88">
        <v>10</v>
      </c>
      <c r="F88" t="s">
        <v>35</v>
      </c>
    </row>
    <row r="89" spans="1:7" x14ac:dyDescent="0.25">
      <c r="A89">
        <v>87</v>
      </c>
      <c r="B89" t="s">
        <v>98</v>
      </c>
      <c r="C89" t="s">
        <v>26</v>
      </c>
      <c r="D89" t="s">
        <v>53</v>
      </c>
    </row>
    <row r="90" spans="1:7" x14ac:dyDescent="0.25">
      <c r="A90">
        <v>88</v>
      </c>
      <c r="B90" t="s">
        <v>99</v>
      </c>
      <c r="C90" t="s">
        <v>26</v>
      </c>
      <c r="D90" t="s">
        <v>23</v>
      </c>
      <c r="F90" t="s">
        <v>35</v>
      </c>
      <c r="G90" t="s">
        <v>49</v>
      </c>
    </row>
    <row r="91" spans="1:7" x14ac:dyDescent="0.25">
      <c r="A91">
        <v>89</v>
      </c>
      <c r="B91" t="s">
        <v>63</v>
      </c>
      <c r="C91" t="s">
        <v>8</v>
      </c>
      <c r="D91" t="s">
        <v>47</v>
      </c>
      <c r="E91">
        <v>-3</v>
      </c>
      <c r="F91">
        <v>224.5</v>
      </c>
      <c r="G91" t="s">
        <v>49</v>
      </c>
    </row>
    <row r="92" spans="1:7" x14ac:dyDescent="0.25">
      <c r="A92">
        <v>90</v>
      </c>
      <c r="B92" t="s">
        <v>100</v>
      </c>
      <c r="C92" t="s">
        <v>8</v>
      </c>
      <c r="D92" t="s">
        <v>37</v>
      </c>
      <c r="F92">
        <v>481.34</v>
      </c>
    </row>
    <row r="93" spans="1:7" x14ac:dyDescent="0.25">
      <c r="A93">
        <v>91</v>
      </c>
      <c r="B93" t="s">
        <v>101</v>
      </c>
      <c r="C93" t="s">
        <v>12</v>
      </c>
      <c r="D93" t="s">
        <v>15</v>
      </c>
      <c r="E93">
        <v>-3</v>
      </c>
      <c r="G93" t="s">
        <v>10</v>
      </c>
    </row>
    <row r="94" spans="1:7" x14ac:dyDescent="0.25">
      <c r="A94">
        <v>92</v>
      </c>
      <c r="B94" t="s">
        <v>102</v>
      </c>
      <c r="C94" t="s">
        <v>12</v>
      </c>
      <c r="D94" t="s">
        <v>31</v>
      </c>
      <c r="E94">
        <v>-3</v>
      </c>
      <c r="F94">
        <v>173.32</v>
      </c>
      <c r="G94" t="s">
        <v>13</v>
      </c>
    </row>
    <row r="95" spans="1:7" x14ac:dyDescent="0.25">
      <c r="A95">
        <v>93</v>
      </c>
      <c r="B95" t="s">
        <v>103</v>
      </c>
      <c r="C95" t="s">
        <v>33</v>
      </c>
      <c r="D95" t="s">
        <v>53</v>
      </c>
      <c r="E95">
        <v>13</v>
      </c>
      <c r="F95" t="s">
        <v>35</v>
      </c>
      <c r="G95" t="s">
        <v>17</v>
      </c>
    </row>
    <row r="96" spans="1:7" x14ac:dyDescent="0.25">
      <c r="A96">
        <v>94</v>
      </c>
      <c r="B96" t="s">
        <v>22</v>
      </c>
      <c r="C96" t="s">
        <v>33</v>
      </c>
      <c r="E96">
        <v>-3</v>
      </c>
      <c r="G96" t="s">
        <v>10</v>
      </c>
    </row>
    <row r="97" spans="1:7" x14ac:dyDescent="0.25">
      <c r="A97">
        <v>95</v>
      </c>
      <c r="B97" t="s">
        <v>104</v>
      </c>
      <c r="C97" t="s">
        <v>33</v>
      </c>
      <c r="D97" t="s">
        <v>31</v>
      </c>
      <c r="G97" t="s">
        <v>17</v>
      </c>
    </row>
    <row r="98" spans="1:7" x14ac:dyDescent="0.25">
      <c r="A98">
        <v>96</v>
      </c>
      <c r="B98" t="s">
        <v>105</v>
      </c>
      <c r="C98" t="s">
        <v>33</v>
      </c>
      <c r="D98" t="s">
        <v>23</v>
      </c>
      <c r="F98" t="s">
        <v>35</v>
      </c>
      <c r="G98" t="s">
        <v>10</v>
      </c>
    </row>
    <row r="99" spans="1:7" x14ac:dyDescent="0.25">
      <c r="A99">
        <v>104</v>
      </c>
      <c r="B99" t="s">
        <v>91</v>
      </c>
      <c r="C99" t="s">
        <v>26</v>
      </c>
      <c r="D99" t="s">
        <v>23</v>
      </c>
      <c r="E99">
        <v>15</v>
      </c>
      <c r="G99" t="s">
        <v>49</v>
      </c>
    </row>
    <row r="100" spans="1:7" x14ac:dyDescent="0.25">
      <c r="A100">
        <v>98</v>
      </c>
      <c r="B100" t="s">
        <v>106</v>
      </c>
      <c r="D100" t="s">
        <v>53</v>
      </c>
      <c r="E100">
        <v>-3</v>
      </c>
      <c r="G100" t="s">
        <v>49</v>
      </c>
    </row>
    <row r="101" spans="1:7" x14ac:dyDescent="0.25">
      <c r="A101">
        <v>99</v>
      </c>
      <c r="B101" t="s">
        <v>107</v>
      </c>
      <c r="C101" t="s">
        <v>26</v>
      </c>
      <c r="E101">
        <v>5</v>
      </c>
      <c r="F101">
        <v>-10</v>
      </c>
      <c r="G101" t="s">
        <v>17</v>
      </c>
    </row>
    <row r="102" spans="1:7" x14ac:dyDescent="0.25">
      <c r="A102">
        <v>100</v>
      </c>
      <c r="B102" t="s">
        <v>59</v>
      </c>
      <c r="C102" t="s">
        <v>8</v>
      </c>
      <c r="D102" t="s">
        <v>37</v>
      </c>
      <c r="E102" t="s">
        <v>16</v>
      </c>
      <c r="F102">
        <v>-10</v>
      </c>
      <c r="G102" t="s">
        <v>13</v>
      </c>
    </row>
    <row r="103" spans="1:7" x14ac:dyDescent="0.25">
      <c r="A103">
        <v>101</v>
      </c>
      <c r="B103" t="s">
        <v>108</v>
      </c>
      <c r="C103" t="s">
        <v>8</v>
      </c>
      <c r="D103" t="s">
        <v>19</v>
      </c>
      <c r="E103">
        <v>-3</v>
      </c>
      <c r="F103" t="s">
        <v>35</v>
      </c>
      <c r="G103" t="s">
        <v>13</v>
      </c>
    </row>
    <row r="104" spans="1:7" x14ac:dyDescent="0.25">
      <c r="A104">
        <v>102</v>
      </c>
      <c r="B104" t="s">
        <v>109</v>
      </c>
      <c r="D104" t="s">
        <v>47</v>
      </c>
      <c r="E104">
        <v>-3</v>
      </c>
      <c r="F104">
        <v>-10</v>
      </c>
    </row>
    <row r="105" spans="1:7" x14ac:dyDescent="0.25">
      <c r="A105">
        <v>103</v>
      </c>
      <c r="B105" t="s">
        <v>18</v>
      </c>
      <c r="C105" t="s">
        <v>33</v>
      </c>
      <c r="D105" t="s">
        <v>15</v>
      </c>
      <c r="E105">
        <v>16</v>
      </c>
      <c r="F105" t="s">
        <v>35</v>
      </c>
      <c r="G105" t="s">
        <v>21</v>
      </c>
    </row>
    <row r="106" spans="1:7" x14ac:dyDescent="0.25">
      <c r="A106">
        <v>104</v>
      </c>
      <c r="B106" t="s">
        <v>42</v>
      </c>
      <c r="C106" t="s">
        <v>12</v>
      </c>
      <c r="E106">
        <v>15</v>
      </c>
      <c r="F106">
        <v>-10</v>
      </c>
    </row>
    <row r="107" spans="1:7" x14ac:dyDescent="0.25">
      <c r="A107">
        <v>105</v>
      </c>
      <c r="B107" t="s">
        <v>110</v>
      </c>
      <c r="C107" t="s">
        <v>33</v>
      </c>
      <c r="D107" t="s">
        <v>53</v>
      </c>
      <c r="E107">
        <v>-3</v>
      </c>
      <c r="F107" t="s">
        <v>35</v>
      </c>
    </row>
    <row r="108" spans="1:7" x14ac:dyDescent="0.25">
      <c r="A108">
        <v>106</v>
      </c>
      <c r="B108" t="s">
        <v>18</v>
      </c>
      <c r="C108" t="s">
        <v>8</v>
      </c>
      <c r="D108" t="s">
        <v>31</v>
      </c>
      <c r="E108">
        <v>18</v>
      </c>
    </row>
    <row r="109" spans="1:7" x14ac:dyDescent="0.25">
      <c r="A109">
        <v>107</v>
      </c>
      <c r="B109" t="s">
        <v>111</v>
      </c>
      <c r="C109" t="s">
        <v>26</v>
      </c>
      <c r="D109" t="s">
        <v>23</v>
      </c>
      <c r="E109">
        <v>14</v>
      </c>
      <c r="F109">
        <v>382.58</v>
      </c>
      <c r="G109" t="s">
        <v>49</v>
      </c>
    </row>
    <row r="110" spans="1:7" x14ac:dyDescent="0.25">
      <c r="A110">
        <v>108</v>
      </c>
      <c r="B110" t="s">
        <v>58</v>
      </c>
      <c r="C110" t="s">
        <v>12</v>
      </c>
      <c r="D110" t="s">
        <v>37</v>
      </c>
      <c r="E110">
        <v>11</v>
      </c>
      <c r="F110" t="s">
        <v>35</v>
      </c>
      <c r="G110" t="s">
        <v>49</v>
      </c>
    </row>
    <row r="111" spans="1:7" x14ac:dyDescent="0.25">
      <c r="A111">
        <v>109</v>
      </c>
      <c r="B111" t="s">
        <v>55</v>
      </c>
      <c r="C111" t="s">
        <v>33</v>
      </c>
      <c r="D111" t="s">
        <v>15</v>
      </c>
      <c r="F111">
        <v>-10</v>
      </c>
      <c r="G111" t="s">
        <v>10</v>
      </c>
    </row>
    <row r="112" spans="1:7" x14ac:dyDescent="0.25">
      <c r="A112">
        <v>110</v>
      </c>
      <c r="B112" t="s">
        <v>112</v>
      </c>
      <c r="D112" t="s">
        <v>15</v>
      </c>
      <c r="E112">
        <v>-3</v>
      </c>
      <c r="F112">
        <v>-10</v>
      </c>
      <c r="G112" t="s">
        <v>17</v>
      </c>
    </row>
    <row r="113" spans="1:7" x14ac:dyDescent="0.25">
      <c r="A113">
        <v>111</v>
      </c>
      <c r="B113" t="s">
        <v>113</v>
      </c>
      <c r="C113" t="s">
        <v>8</v>
      </c>
      <c r="E113">
        <v>6</v>
      </c>
      <c r="F113" t="s">
        <v>35</v>
      </c>
      <c r="G113" t="s">
        <v>10</v>
      </c>
    </row>
    <row r="114" spans="1:7" x14ac:dyDescent="0.25">
      <c r="A114">
        <v>112</v>
      </c>
      <c r="B114" t="s">
        <v>114</v>
      </c>
      <c r="C114" t="s">
        <v>8</v>
      </c>
      <c r="D114" t="s">
        <v>31</v>
      </c>
      <c r="F114">
        <v>-10</v>
      </c>
      <c r="G114" t="s">
        <v>21</v>
      </c>
    </row>
    <row r="115" spans="1:7" x14ac:dyDescent="0.25">
      <c r="A115">
        <v>113</v>
      </c>
      <c r="B115" t="s">
        <v>45</v>
      </c>
      <c r="C115" t="s">
        <v>8</v>
      </c>
      <c r="D115" t="s">
        <v>53</v>
      </c>
      <c r="E115">
        <v>10</v>
      </c>
      <c r="F115">
        <v>-10</v>
      </c>
      <c r="G115" t="s">
        <v>17</v>
      </c>
    </row>
    <row r="116" spans="1:7" x14ac:dyDescent="0.25">
      <c r="A116">
        <v>175</v>
      </c>
      <c r="B116" t="s">
        <v>115</v>
      </c>
      <c r="C116" t="s">
        <v>12</v>
      </c>
      <c r="D116" t="s">
        <v>31</v>
      </c>
      <c r="F116" t="s">
        <v>35</v>
      </c>
      <c r="G116" t="s">
        <v>13</v>
      </c>
    </row>
    <row r="117" spans="1:7" x14ac:dyDescent="0.25">
      <c r="A117">
        <v>115</v>
      </c>
      <c r="B117" t="s">
        <v>116</v>
      </c>
      <c r="C117" t="s">
        <v>8</v>
      </c>
      <c r="D117" t="s">
        <v>15</v>
      </c>
      <c r="E117">
        <v>4</v>
      </c>
      <c r="F117">
        <v>-10</v>
      </c>
      <c r="G117" t="s">
        <v>21</v>
      </c>
    </row>
    <row r="118" spans="1:7" x14ac:dyDescent="0.25">
      <c r="A118">
        <v>116</v>
      </c>
      <c r="B118" t="s">
        <v>117</v>
      </c>
      <c r="C118" t="s">
        <v>26</v>
      </c>
      <c r="D118" t="s">
        <v>23</v>
      </c>
      <c r="E118" t="s">
        <v>16</v>
      </c>
      <c r="G118" t="s">
        <v>13</v>
      </c>
    </row>
    <row r="119" spans="1:7" x14ac:dyDescent="0.25">
      <c r="A119">
        <v>117</v>
      </c>
      <c r="B119" t="s">
        <v>118</v>
      </c>
      <c r="C119" t="s">
        <v>8</v>
      </c>
      <c r="E119" t="s">
        <v>16</v>
      </c>
      <c r="F119" t="s">
        <v>35</v>
      </c>
      <c r="G119" t="s">
        <v>49</v>
      </c>
    </row>
    <row r="120" spans="1:7" x14ac:dyDescent="0.25">
      <c r="A120">
        <v>118</v>
      </c>
      <c r="B120" t="s">
        <v>119</v>
      </c>
      <c r="C120" t="s">
        <v>8</v>
      </c>
      <c r="D120" t="s">
        <v>23</v>
      </c>
      <c r="E120">
        <v>15</v>
      </c>
    </row>
    <row r="121" spans="1:7" x14ac:dyDescent="0.25">
      <c r="A121">
        <v>119</v>
      </c>
      <c r="B121" t="s">
        <v>120</v>
      </c>
      <c r="D121" t="s">
        <v>19</v>
      </c>
      <c r="E121">
        <v>-3</v>
      </c>
      <c r="F121">
        <v>16.82</v>
      </c>
      <c r="G121" t="s">
        <v>49</v>
      </c>
    </row>
    <row r="122" spans="1:7" x14ac:dyDescent="0.25">
      <c r="A122">
        <v>120</v>
      </c>
      <c r="B122" t="s">
        <v>84</v>
      </c>
      <c r="C122" t="s">
        <v>8</v>
      </c>
      <c r="D122" t="s">
        <v>47</v>
      </c>
      <c r="E122">
        <v>12</v>
      </c>
      <c r="F122">
        <v>-10</v>
      </c>
      <c r="G122" t="s">
        <v>21</v>
      </c>
    </row>
    <row r="123" spans="1:7" x14ac:dyDescent="0.25">
      <c r="A123">
        <v>121</v>
      </c>
      <c r="B123" t="s">
        <v>121</v>
      </c>
      <c r="C123" t="s">
        <v>8</v>
      </c>
      <c r="D123" t="s">
        <v>9</v>
      </c>
      <c r="E123">
        <v>-3</v>
      </c>
      <c r="F123" t="s">
        <v>35</v>
      </c>
    </row>
    <row r="124" spans="1:7" x14ac:dyDescent="0.25">
      <c r="A124">
        <v>122</v>
      </c>
      <c r="B124" t="s">
        <v>30</v>
      </c>
      <c r="C124" t="s">
        <v>12</v>
      </c>
      <c r="D124" t="s">
        <v>37</v>
      </c>
      <c r="E124">
        <v>-3</v>
      </c>
      <c r="G124" t="s">
        <v>10</v>
      </c>
    </row>
    <row r="125" spans="1:7" x14ac:dyDescent="0.25">
      <c r="A125">
        <v>123</v>
      </c>
      <c r="B125" t="s">
        <v>122</v>
      </c>
      <c r="C125" t="s">
        <v>8</v>
      </c>
      <c r="F125">
        <v>443.85</v>
      </c>
      <c r="G125" t="s">
        <v>49</v>
      </c>
    </row>
    <row r="126" spans="1:7" x14ac:dyDescent="0.25">
      <c r="A126">
        <v>124</v>
      </c>
      <c r="B126" t="s">
        <v>14</v>
      </c>
      <c r="C126" t="s">
        <v>12</v>
      </c>
      <c r="D126" t="s">
        <v>19</v>
      </c>
      <c r="E126">
        <v>-3</v>
      </c>
      <c r="G126" t="s">
        <v>17</v>
      </c>
    </row>
    <row r="127" spans="1:7" x14ac:dyDescent="0.25">
      <c r="A127">
        <v>175</v>
      </c>
      <c r="B127" t="s">
        <v>123</v>
      </c>
      <c r="D127" t="s">
        <v>19</v>
      </c>
      <c r="E127">
        <v>-3</v>
      </c>
      <c r="F127">
        <v>145.18</v>
      </c>
      <c r="G127" t="s">
        <v>49</v>
      </c>
    </row>
    <row r="128" spans="1:7" x14ac:dyDescent="0.25">
      <c r="A128">
        <v>54</v>
      </c>
      <c r="B128" t="s">
        <v>124</v>
      </c>
      <c r="D128" t="s">
        <v>37</v>
      </c>
      <c r="E128" t="s">
        <v>16</v>
      </c>
      <c r="G128" t="s">
        <v>10</v>
      </c>
    </row>
    <row r="129" spans="1:7" x14ac:dyDescent="0.25">
      <c r="A129">
        <v>127</v>
      </c>
      <c r="B129" t="s">
        <v>125</v>
      </c>
      <c r="D129" t="s">
        <v>9</v>
      </c>
      <c r="G129" t="s">
        <v>17</v>
      </c>
    </row>
    <row r="130" spans="1:7" x14ac:dyDescent="0.25">
      <c r="A130">
        <v>128</v>
      </c>
      <c r="B130" t="s">
        <v>126</v>
      </c>
      <c r="C130" t="s">
        <v>12</v>
      </c>
      <c r="D130" t="s">
        <v>53</v>
      </c>
      <c r="G130" t="s">
        <v>21</v>
      </c>
    </row>
    <row r="131" spans="1:7" x14ac:dyDescent="0.25">
      <c r="A131">
        <v>129</v>
      </c>
      <c r="B131" t="s">
        <v>7</v>
      </c>
      <c r="C131" t="s">
        <v>26</v>
      </c>
      <c r="D131" t="s">
        <v>37</v>
      </c>
      <c r="F131">
        <v>298.54000000000002</v>
      </c>
      <c r="G131" t="s">
        <v>13</v>
      </c>
    </row>
    <row r="132" spans="1:7" x14ac:dyDescent="0.25">
      <c r="A132">
        <v>130</v>
      </c>
      <c r="B132" t="s">
        <v>127</v>
      </c>
      <c r="C132" t="s">
        <v>33</v>
      </c>
      <c r="E132">
        <v>4</v>
      </c>
      <c r="F132" t="s">
        <v>35</v>
      </c>
      <c r="G132" t="s">
        <v>10</v>
      </c>
    </row>
    <row r="133" spans="1:7" x14ac:dyDescent="0.25">
      <c r="A133">
        <v>131</v>
      </c>
      <c r="B133" t="s">
        <v>128</v>
      </c>
      <c r="D133" t="s">
        <v>9</v>
      </c>
      <c r="E133">
        <v>20</v>
      </c>
      <c r="F133" t="s">
        <v>35</v>
      </c>
      <c r="G133" t="s">
        <v>49</v>
      </c>
    </row>
    <row r="134" spans="1:7" x14ac:dyDescent="0.25">
      <c r="A134">
        <v>132</v>
      </c>
      <c r="B134" t="s">
        <v>11</v>
      </c>
      <c r="C134" t="s">
        <v>12</v>
      </c>
      <c r="D134" t="s">
        <v>31</v>
      </c>
      <c r="E134">
        <v>-3</v>
      </c>
      <c r="F134">
        <v>-10</v>
      </c>
    </row>
    <row r="135" spans="1:7" x14ac:dyDescent="0.25">
      <c r="A135">
        <v>133</v>
      </c>
      <c r="B135" t="s">
        <v>98</v>
      </c>
      <c r="C135" t="s">
        <v>12</v>
      </c>
      <c r="D135" t="s">
        <v>19</v>
      </c>
      <c r="F135" t="s">
        <v>35</v>
      </c>
      <c r="G135" t="s">
        <v>10</v>
      </c>
    </row>
    <row r="136" spans="1:7" x14ac:dyDescent="0.25">
      <c r="A136">
        <v>134</v>
      </c>
      <c r="B136" t="s">
        <v>129</v>
      </c>
      <c r="C136" t="s">
        <v>8</v>
      </c>
      <c r="D136" t="s">
        <v>47</v>
      </c>
      <c r="E136" t="s">
        <v>16</v>
      </c>
      <c r="F136">
        <v>-10</v>
      </c>
      <c r="G136" t="s">
        <v>21</v>
      </c>
    </row>
    <row r="137" spans="1:7" x14ac:dyDescent="0.25">
      <c r="A137">
        <v>135</v>
      </c>
      <c r="B137" t="s">
        <v>130</v>
      </c>
      <c r="D137" t="s">
        <v>9</v>
      </c>
      <c r="E137">
        <v>-3</v>
      </c>
      <c r="F137">
        <v>-10</v>
      </c>
      <c r="G137" t="s">
        <v>17</v>
      </c>
    </row>
    <row r="138" spans="1:7" x14ac:dyDescent="0.25">
      <c r="A138">
        <v>136</v>
      </c>
      <c r="B138" t="s">
        <v>68</v>
      </c>
      <c r="C138" t="s">
        <v>33</v>
      </c>
      <c r="D138" t="s">
        <v>23</v>
      </c>
      <c r="E138">
        <v>-3</v>
      </c>
      <c r="F138" t="s">
        <v>35</v>
      </c>
      <c r="G138" t="s">
        <v>17</v>
      </c>
    </row>
    <row r="139" spans="1:7" x14ac:dyDescent="0.25">
      <c r="A139">
        <v>137</v>
      </c>
      <c r="B139" t="s">
        <v>131</v>
      </c>
      <c r="C139" t="s">
        <v>33</v>
      </c>
      <c r="D139" t="s">
        <v>23</v>
      </c>
      <c r="E139">
        <v>3</v>
      </c>
      <c r="F139">
        <v>55.68</v>
      </c>
    </row>
    <row r="140" spans="1:7" x14ac:dyDescent="0.25">
      <c r="A140">
        <v>138</v>
      </c>
      <c r="B140" t="s">
        <v>132</v>
      </c>
      <c r="D140" t="s">
        <v>37</v>
      </c>
      <c r="E140" t="s">
        <v>16</v>
      </c>
      <c r="F140">
        <v>-10</v>
      </c>
      <c r="G140" t="s">
        <v>17</v>
      </c>
    </row>
    <row r="141" spans="1:7" x14ac:dyDescent="0.25">
      <c r="A141">
        <v>139</v>
      </c>
      <c r="B141" t="s">
        <v>77</v>
      </c>
      <c r="C141" t="s">
        <v>33</v>
      </c>
      <c r="D141" t="s">
        <v>37</v>
      </c>
      <c r="E141" t="s">
        <v>16</v>
      </c>
      <c r="G141" t="s">
        <v>13</v>
      </c>
    </row>
    <row r="142" spans="1:7" x14ac:dyDescent="0.25">
      <c r="A142">
        <v>140</v>
      </c>
      <c r="B142" t="s">
        <v>133</v>
      </c>
      <c r="C142" t="s">
        <v>12</v>
      </c>
      <c r="D142" t="s">
        <v>19</v>
      </c>
      <c r="E142" t="s">
        <v>16</v>
      </c>
      <c r="F142" t="s">
        <v>35</v>
      </c>
      <c r="G142" t="s">
        <v>10</v>
      </c>
    </row>
    <row r="143" spans="1:7" x14ac:dyDescent="0.25">
      <c r="A143">
        <v>141</v>
      </c>
      <c r="B143" t="s">
        <v>97</v>
      </c>
      <c r="E143" t="s">
        <v>16</v>
      </c>
      <c r="F143" t="s">
        <v>35</v>
      </c>
    </row>
    <row r="144" spans="1:7" x14ac:dyDescent="0.25">
      <c r="A144">
        <v>142</v>
      </c>
      <c r="B144" t="s">
        <v>48</v>
      </c>
      <c r="C144" t="s">
        <v>8</v>
      </c>
      <c r="D144" t="s">
        <v>37</v>
      </c>
      <c r="F144">
        <v>-10</v>
      </c>
      <c r="G144" t="s">
        <v>21</v>
      </c>
    </row>
    <row r="145" spans="1:7" x14ac:dyDescent="0.25">
      <c r="A145">
        <v>143</v>
      </c>
      <c r="B145" t="s">
        <v>134</v>
      </c>
      <c r="C145" t="s">
        <v>12</v>
      </c>
      <c r="D145" t="s">
        <v>23</v>
      </c>
      <c r="F145">
        <v>-10</v>
      </c>
      <c r="G145" t="s">
        <v>17</v>
      </c>
    </row>
    <row r="146" spans="1:7" x14ac:dyDescent="0.25">
      <c r="A146">
        <v>144</v>
      </c>
      <c r="B146" t="s">
        <v>135</v>
      </c>
      <c r="C146" t="s">
        <v>8</v>
      </c>
      <c r="D146" t="s">
        <v>23</v>
      </c>
      <c r="F146">
        <v>87.13</v>
      </c>
    </row>
    <row r="147" spans="1:7" x14ac:dyDescent="0.25">
      <c r="A147">
        <v>113</v>
      </c>
      <c r="B147" t="s">
        <v>81</v>
      </c>
      <c r="C147" t="s">
        <v>33</v>
      </c>
      <c r="D147" t="s">
        <v>31</v>
      </c>
      <c r="E147">
        <v>-3</v>
      </c>
      <c r="G147" t="s">
        <v>10</v>
      </c>
    </row>
    <row r="148" spans="1:7" x14ac:dyDescent="0.25">
      <c r="A148">
        <v>146</v>
      </c>
      <c r="B148" t="s">
        <v>73</v>
      </c>
      <c r="C148" t="s">
        <v>12</v>
      </c>
      <c r="D148" t="s">
        <v>53</v>
      </c>
      <c r="E148">
        <v>-3</v>
      </c>
      <c r="F148" t="s">
        <v>35</v>
      </c>
      <c r="G148" t="s">
        <v>21</v>
      </c>
    </row>
    <row r="149" spans="1:7" x14ac:dyDescent="0.25">
      <c r="A149">
        <v>147</v>
      </c>
      <c r="B149" t="s">
        <v>136</v>
      </c>
      <c r="C149" t="s">
        <v>12</v>
      </c>
      <c r="D149" t="s">
        <v>37</v>
      </c>
      <c r="E149" t="s">
        <v>16</v>
      </c>
      <c r="G149" t="s">
        <v>17</v>
      </c>
    </row>
    <row r="150" spans="1:7" x14ac:dyDescent="0.25">
      <c r="A150">
        <v>148</v>
      </c>
      <c r="B150" t="s">
        <v>85</v>
      </c>
      <c r="C150" t="s">
        <v>12</v>
      </c>
      <c r="D150" t="s">
        <v>31</v>
      </c>
      <c r="G150" t="s">
        <v>10</v>
      </c>
    </row>
    <row r="151" spans="1:7" x14ac:dyDescent="0.25">
      <c r="A151">
        <v>149</v>
      </c>
      <c r="B151" t="s">
        <v>83</v>
      </c>
      <c r="C151" t="s">
        <v>8</v>
      </c>
      <c r="D151" t="s">
        <v>23</v>
      </c>
      <c r="E151">
        <v>13</v>
      </c>
      <c r="F151">
        <v>-10</v>
      </c>
      <c r="G151" t="s">
        <v>21</v>
      </c>
    </row>
    <row r="152" spans="1:7" x14ac:dyDescent="0.25">
      <c r="A152">
        <v>150</v>
      </c>
      <c r="B152" t="s">
        <v>101</v>
      </c>
      <c r="C152" t="s">
        <v>33</v>
      </c>
      <c r="D152" t="s">
        <v>47</v>
      </c>
      <c r="E152" t="s">
        <v>16</v>
      </c>
      <c r="F152">
        <v>66.430000000000007</v>
      </c>
      <c r="G152" t="s">
        <v>17</v>
      </c>
    </row>
    <row r="153" spans="1:7" x14ac:dyDescent="0.25">
      <c r="A153">
        <v>151</v>
      </c>
      <c r="B153" t="s">
        <v>116</v>
      </c>
      <c r="C153" t="s">
        <v>33</v>
      </c>
      <c r="D153" t="s">
        <v>19</v>
      </c>
      <c r="E153">
        <v>-3</v>
      </c>
      <c r="G153" t="s">
        <v>49</v>
      </c>
    </row>
    <row r="154" spans="1:7" x14ac:dyDescent="0.25">
      <c r="A154">
        <v>152</v>
      </c>
      <c r="B154" t="s">
        <v>137</v>
      </c>
      <c r="C154" t="s">
        <v>12</v>
      </c>
      <c r="D154" t="s">
        <v>47</v>
      </c>
      <c r="E154" t="s">
        <v>16</v>
      </c>
      <c r="G154" t="s">
        <v>21</v>
      </c>
    </row>
    <row r="155" spans="1:7" x14ac:dyDescent="0.25">
      <c r="A155">
        <v>153</v>
      </c>
      <c r="B155" t="s">
        <v>130</v>
      </c>
      <c r="E155" t="s">
        <v>16</v>
      </c>
      <c r="G155" t="s">
        <v>13</v>
      </c>
    </row>
    <row r="156" spans="1:7" x14ac:dyDescent="0.25">
      <c r="A156">
        <v>154</v>
      </c>
      <c r="B156" t="s">
        <v>138</v>
      </c>
      <c r="C156" t="s">
        <v>26</v>
      </c>
      <c r="D156" t="s">
        <v>15</v>
      </c>
      <c r="F156">
        <v>382.51</v>
      </c>
      <c r="G156" t="s">
        <v>13</v>
      </c>
    </row>
    <row r="157" spans="1:7" x14ac:dyDescent="0.25">
      <c r="A157">
        <v>155</v>
      </c>
      <c r="B157" t="s">
        <v>139</v>
      </c>
      <c r="C157" t="s">
        <v>33</v>
      </c>
      <c r="D157" t="s">
        <v>31</v>
      </c>
      <c r="E157">
        <v>-3</v>
      </c>
      <c r="F157" t="s">
        <v>35</v>
      </c>
    </row>
    <row r="158" spans="1:7" x14ac:dyDescent="0.25">
      <c r="A158">
        <v>156</v>
      </c>
      <c r="B158" t="s">
        <v>42</v>
      </c>
      <c r="C158" t="s">
        <v>12</v>
      </c>
      <c r="D158" t="s">
        <v>31</v>
      </c>
      <c r="E158" t="s">
        <v>16</v>
      </c>
      <c r="F158">
        <v>400.2</v>
      </c>
      <c r="G158" t="s">
        <v>17</v>
      </c>
    </row>
    <row r="159" spans="1:7" x14ac:dyDescent="0.25">
      <c r="A159">
        <v>157</v>
      </c>
      <c r="B159" t="s">
        <v>135</v>
      </c>
      <c r="C159" t="s">
        <v>33</v>
      </c>
      <c r="D159" t="s">
        <v>31</v>
      </c>
      <c r="E159">
        <v>2</v>
      </c>
      <c r="F159" t="s">
        <v>35</v>
      </c>
      <c r="G159" t="s">
        <v>21</v>
      </c>
    </row>
    <row r="160" spans="1:7" x14ac:dyDescent="0.25">
      <c r="A160">
        <v>158</v>
      </c>
      <c r="B160" t="s">
        <v>91</v>
      </c>
      <c r="E160">
        <v>-3</v>
      </c>
      <c r="F160">
        <v>294.36</v>
      </c>
      <c r="G160" t="s">
        <v>49</v>
      </c>
    </row>
    <row r="161" spans="1:7" x14ac:dyDescent="0.25">
      <c r="A161">
        <v>159</v>
      </c>
      <c r="B161" t="s">
        <v>45</v>
      </c>
      <c r="C161" t="s">
        <v>26</v>
      </c>
      <c r="D161" t="s">
        <v>19</v>
      </c>
      <c r="E161">
        <v>-3</v>
      </c>
      <c r="F161">
        <v>255.67</v>
      </c>
      <c r="G161" t="s">
        <v>49</v>
      </c>
    </row>
    <row r="162" spans="1:7" x14ac:dyDescent="0.25">
      <c r="A162">
        <v>160</v>
      </c>
      <c r="B162" t="s">
        <v>140</v>
      </c>
      <c r="C162" t="s">
        <v>12</v>
      </c>
      <c r="E162">
        <v>6</v>
      </c>
      <c r="F162">
        <v>-10</v>
      </c>
      <c r="G162" t="s">
        <v>49</v>
      </c>
    </row>
    <row r="163" spans="1:7" x14ac:dyDescent="0.25">
      <c r="A163">
        <v>161</v>
      </c>
      <c r="B163" t="s">
        <v>141</v>
      </c>
      <c r="C163" t="s">
        <v>26</v>
      </c>
      <c r="D163" t="s">
        <v>19</v>
      </c>
      <c r="E163" t="s">
        <v>16</v>
      </c>
      <c r="F163" t="s">
        <v>35</v>
      </c>
    </row>
    <row r="164" spans="1:7" x14ac:dyDescent="0.25">
      <c r="A164">
        <v>162</v>
      </c>
      <c r="B164" t="s">
        <v>76</v>
      </c>
      <c r="C164" t="s">
        <v>8</v>
      </c>
      <c r="D164" t="s">
        <v>23</v>
      </c>
      <c r="E164">
        <v>11</v>
      </c>
      <c r="F164">
        <v>-10</v>
      </c>
      <c r="G164" t="s">
        <v>17</v>
      </c>
    </row>
    <row r="165" spans="1:7" x14ac:dyDescent="0.25">
      <c r="A165">
        <v>163</v>
      </c>
      <c r="B165" t="s">
        <v>142</v>
      </c>
      <c r="D165" t="s">
        <v>15</v>
      </c>
      <c r="E165">
        <v>11</v>
      </c>
      <c r="G165" t="s">
        <v>17</v>
      </c>
    </row>
    <row r="166" spans="1:7" x14ac:dyDescent="0.25">
      <c r="A166">
        <v>164</v>
      </c>
      <c r="B166" t="s">
        <v>143</v>
      </c>
      <c r="C166" t="s">
        <v>33</v>
      </c>
      <c r="D166" t="s">
        <v>15</v>
      </c>
      <c r="E166">
        <v>20</v>
      </c>
      <c r="F166">
        <v>-10</v>
      </c>
    </row>
    <row r="167" spans="1:7" x14ac:dyDescent="0.25">
      <c r="A167">
        <v>165</v>
      </c>
      <c r="B167" t="s">
        <v>127</v>
      </c>
      <c r="D167" t="s">
        <v>23</v>
      </c>
      <c r="E167" t="s">
        <v>16</v>
      </c>
      <c r="F167" t="s">
        <v>35</v>
      </c>
      <c r="G167" t="s">
        <v>13</v>
      </c>
    </row>
    <row r="168" spans="1:7" x14ac:dyDescent="0.25">
      <c r="A168">
        <v>166</v>
      </c>
      <c r="B168" t="s">
        <v>140</v>
      </c>
      <c r="C168" t="s">
        <v>33</v>
      </c>
      <c r="D168" t="s">
        <v>9</v>
      </c>
      <c r="F168" t="s">
        <v>35</v>
      </c>
      <c r="G168" t="s">
        <v>21</v>
      </c>
    </row>
    <row r="169" spans="1:7" x14ac:dyDescent="0.25">
      <c r="A169">
        <v>167</v>
      </c>
      <c r="B169" t="s">
        <v>118</v>
      </c>
      <c r="D169" t="s">
        <v>37</v>
      </c>
      <c r="G169" t="s">
        <v>13</v>
      </c>
    </row>
    <row r="170" spans="1:7" x14ac:dyDescent="0.25">
      <c r="A170">
        <v>168</v>
      </c>
      <c r="B170" t="s">
        <v>103</v>
      </c>
      <c r="D170" t="s">
        <v>15</v>
      </c>
      <c r="E170">
        <v>15</v>
      </c>
      <c r="G170" t="s">
        <v>49</v>
      </c>
    </row>
    <row r="171" spans="1:7" x14ac:dyDescent="0.25">
      <c r="A171">
        <v>169</v>
      </c>
      <c r="B171" t="s">
        <v>77</v>
      </c>
      <c r="C171" t="s">
        <v>33</v>
      </c>
      <c r="D171" t="s">
        <v>9</v>
      </c>
      <c r="F171">
        <v>-10</v>
      </c>
      <c r="G171" t="s">
        <v>13</v>
      </c>
    </row>
    <row r="172" spans="1:7" x14ac:dyDescent="0.25">
      <c r="A172">
        <v>170</v>
      </c>
      <c r="B172" t="s">
        <v>45</v>
      </c>
      <c r="C172" t="s">
        <v>33</v>
      </c>
      <c r="D172" t="s">
        <v>31</v>
      </c>
      <c r="E172">
        <v>-3</v>
      </c>
      <c r="F172">
        <v>-10</v>
      </c>
      <c r="G172" t="s">
        <v>13</v>
      </c>
    </row>
    <row r="173" spans="1:7" x14ac:dyDescent="0.25">
      <c r="A173">
        <v>171</v>
      </c>
      <c r="B173" t="s">
        <v>100</v>
      </c>
      <c r="C173" t="s">
        <v>26</v>
      </c>
      <c r="D173" t="s">
        <v>53</v>
      </c>
      <c r="E173">
        <v>-3</v>
      </c>
      <c r="F173">
        <v>438.32</v>
      </c>
    </row>
    <row r="174" spans="1:7" x14ac:dyDescent="0.25">
      <c r="A174">
        <v>172</v>
      </c>
      <c r="B174" t="s">
        <v>71</v>
      </c>
      <c r="C174" t="s">
        <v>8</v>
      </c>
      <c r="D174" t="s">
        <v>23</v>
      </c>
      <c r="E174" t="s">
        <v>16</v>
      </c>
      <c r="G174" t="s">
        <v>49</v>
      </c>
    </row>
    <row r="175" spans="1:7" x14ac:dyDescent="0.25">
      <c r="A175">
        <v>56</v>
      </c>
      <c r="B175" t="s">
        <v>128</v>
      </c>
      <c r="C175" t="s">
        <v>8</v>
      </c>
      <c r="D175" t="s">
        <v>37</v>
      </c>
      <c r="E175">
        <v>14</v>
      </c>
      <c r="F175" t="s">
        <v>35</v>
      </c>
      <c r="G175" t="s">
        <v>13</v>
      </c>
    </row>
    <row r="176" spans="1:7" x14ac:dyDescent="0.25">
      <c r="A176">
        <v>174</v>
      </c>
      <c r="B176" t="s">
        <v>144</v>
      </c>
      <c r="C176" t="s">
        <v>8</v>
      </c>
      <c r="D176" t="s">
        <v>9</v>
      </c>
      <c r="E176" t="s">
        <v>16</v>
      </c>
      <c r="F176" t="s">
        <v>35</v>
      </c>
      <c r="G176" t="s">
        <v>13</v>
      </c>
    </row>
    <row r="177" spans="1:7" x14ac:dyDescent="0.25">
      <c r="A177">
        <v>175</v>
      </c>
      <c r="B177" t="s">
        <v>111</v>
      </c>
      <c r="C177" t="s">
        <v>33</v>
      </c>
      <c r="D177" t="s">
        <v>15</v>
      </c>
      <c r="E177">
        <v>-3</v>
      </c>
      <c r="F177">
        <v>311.52</v>
      </c>
      <c r="G177" t="s">
        <v>21</v>
      </c>
    </row>
    <row r="178" spans="1:7" x14ac:dyDescent="0.25">
      <c r="A178">
        <v>176</v>
      </c>
      <c r="B178" t="s">
        <v>145</v>
      </c>
      <c r="E178">
        <v>14</v>
      </c>
      <c r="G178" t="s">
        <v>17</v>
      </c>
    </row>
    <row r="179" spans="1:7" x14ac:dyDescent="0.25">
      <c r="A179">
        <v>177</v>
      </c>
      <c r="B179" t="s">
        <v>109</v>
      </c>
      <c r="C179" t="s">
        <v>33</v>
      </c>
      <c r="D179" t="s">
        <v>31</v>
      </c>
      <c r="E179">
        <v>3</v>
      </c>
      <c r="F179">
        <v>-10</v>
      </c>
      <c r="G179" t="s">
        <v>10</v>
      </c>
    </row>
    <row r="180" spans="1:7" x14ac:dyDescent="0.25">
      <c r="A180">
        <v>178</v>
      </c>
      <c r="B180" t="s">
        <v>76</v>
      </c>
      <c r="D180" t="s">
        <v>9</v>
      </c>
      <c r="E180" t="s">
        <v>16</v>
      </c>
      <c r="F180" t="s">
        <v>35</v>
      </c>
      <c r="G180" t="s">
        <v>13</v>
      </c>
    </row>
    <row r="181" spans="1:7" x14ac:dyDescent="0.25">
      <c r="A181">
        <v>179</v>
      </c>
      <c r="B181" t="s">
        <v>146</v>
      </c>
      <c r="C181" t="s">
        <v>12</v>
      </c>
      <c r="E181">
        <v>12</v>
      </c>
      <c r="F181">
        <v>477.17</v>
      </c>
      <c r="G181" t="s">
        <v>49</v>
      </c>
    </row>
    <row r="182" spans="1:7" x14ac:dyDescent="0.25">
      <c r="A182">
        <v>180</v>
      </c>
      <c r="B182" t="s">
        <v>147</v>
      </c>
      <c r="C182" t="s">
        <v>33</v>
      </c>
      <c r="D182" t="s">
        <v>19</v>
      </c>
      <c r="E182">
        <v>9</v>
      </c>
      <c r="F182">
        <v>184.98</v>
      </c>
      <c r="G182" t="s">
        <v>17</v>
      </c>
    </row>
    <row r="183" spans="1:7" x14ac:dyDescent="0.25">
      <c r="A183">
        <v>181</v>
      </c>
      <c r="B183" t="s">
        <v>142</v>
      </c>
      <c r="C183" t="s">
        <v>12</v>
      </c>
      <c r="D183" t="s">
        <v>19</v>
      </c>
      <c r="E183">
        <v>5</v>
      </c>
      <c r="F183" t="s">
        <v>35</v>
      </c>
    </row>
    <row r="184" spans="1:7" x14ac:dyDescent="0.25">
      <c r="A184">
        <v>182</v>
      </c>
      <c r="B184" t="s">
        <v>115</v>
      </c>
      <c r="C184" t="s">
        <v>33</v>
      </c>
      <c r="D184" t="s">
        <v>31</v>
      </c>
      <c r="F184">
        <v>-10</v>
      </c>
      <c r="G184" t="s">
        <v>21</v>
      </c>
    </row>
    <row r="185" spans="1:7" x14ac:dyDescent="0.25">
      <c r="A185">
        <v>183</v>
      </c>
      <c r="B185" t="s">
        <v>147</v>
      </c>
      <c r="C185" t="s">
        <v>26</v>
      </c>
      <c r="D185" t="s">
        <v>37</v>
      </c>
      <c r="E185" t="s">
        <v>16</v>
      </c>
      <c r="F185">
        <v>-10</v>
      </c>
      <c r="G185" t="s">
        <v>17</v>
      </c>
    </row>
    <row r="186" spans="1:7" x14ac:dyDescent="0.25">
      <c r="A186">
        <v>165</v>
      </c>
      <c r="B186" t="s">
        <v>148</v>
      </c>
      <c r="C186" t="s">
        <v>8</v>
      </c>
      <c r="D186" t="s">
        <v>19</v>
      </c>
      <c r="E186" t="s">
        <v>16</v>
      </c>
      <c r="F186" t="s">
        <v>35</v>
      </c>
      <c r="G186" t="s">
        <v>49</v>
      </c>
    </row>
    <row r="187" spans="1:7" x14ac:dyDescent="0.25">
      <c r="A187">
        <v>185</v>
      </c>
      <c r="B187" t="s">
        <v>149</v>
      </c>
      <c r="C187" t="s">
        <v>33</v>
      </c>
      <c r="D187" t="s">
        <v>47</v>
      </c>
      <c r="F187">
        <v>-10</v>
      </c>
      <c r="G187" t="s">
        <v>17</v>
      </c>
    </row>
    <row r="188" spans="1:7" x14ac:dyDescent="0.25">
      <c r="A188">
        <v>186</v>
      </c>
      <c r="B188" t="s">
        <v>150</v>
      </c>
      <c r="C188" t="s">
        <v>8</v>
      </c>
      <c r="D188" t="s">
        <v>23</v>
      </c>
      <c r="E188">
        <v>14</v>
      </c>
      <c r="G188" t="s">
        <v>10</v>
      </c>
    </row>
    <row r="189" spans="1:7" x14ac:dyDescent="0.25">
      <c r="A189">
        <v>187</v>
      </c>
      <c r="B189" t="s">
        <v>151</v>
      </c>
      <c r="C189" t="s">
        <v>12</v>
      </c>
      <c r="D189" t="s">
        <v>19</v>
      </c>
      <c r="E189" t="s">
        <v>16</v>
      </c>
      <c r="F189">
        <v>-10</v>
      </c>
      <c r="G189" t="s">
        <v>13</v>
      </c>
    </row>
    <row r="190" spans="1:7" x14ac:dyDescent="0.25">
      <c r="A190">
        <v>188</v>
      </c>
      <c r="B190" t="s">
        <v>152</v>
      </c>
      <c r="C190" t="s">
        <v>33</v>
      </c>
      <c r="D190" t="s">
        <v>37</v>
      </c>
      <c r="E190">
        <v>-3</v>
      </c>
      <c r="F190">
        <v>144.53</v>
      </c>
      <c r="G190" t="s">
        <v>21</v>
      </c>
    </row>
    <row r="191" spans="1:7" x14ac:dyDescent="0.25">
      <c r="A191">
        <v>189</v>
      </c>
      <c r="B191" t="s">
        <v>56</v>
      </c>
      <c r="C191" t="s">
        <v>8</v>
      </c>
      <c r="E191">
        <v>6</v>
      </c>
      <c r="F191">
        <v>-10</v>
      </c>
      <c r="G191" t="s">
        <v>21</v>
      </c>
    </row>
    <row r="192" spans="1:7" x14ac:dyDescent="0.25">
      <c r="A192">
        <v>190</v>
      </c>
      <c r="B192" t="s">
        <v>51</v>
      </c>
      <c r="C192" t="s">
        <v>8</v>
      </c>
      <c r="D192" t="s">
        <v>19</v>
      </c>
      <c r="E192">
        <v>13</v>
      </c>
      <c r="F192">
        <v>-10</v>
      </c>
      <c r="G192" t="s">
        <v>17</v>
      </c>
    </row>
    <row r="193" spans="1:7" x14ac:dyDescent="0.25">
      <c r="A193">
        <v>191</v>
      </c>
      <c r="B193" t="s">
        <v>125</v>
      </c>
      <c r="C193" t="s">
        <v>12</v>
      </c>
      <c r="D193" t="s">
        <v>15</v>
      </c>
      <c r="E193" t="s">
        <v>16</v>
      </c>
      <c r="F193" t="s">
        <v>35</v>
      </c>
      <c r="G193" t="s">
        <v>13</v>
      </c>
    </row>
    <row r="194" spans="1:7" x14ac:dyDescent="0.25">
      <c r="A194">
        <v>192</v>
      </c>
      <c r="B194" t="s">
        <v>7</v>
      </c>
      <c r="C194" t="s">
        <v>26</v>
      </c>
      <c r="D194" t="s">
        <v>31</v>
      </c>
      <c r="E194">
        <v>-3</v>
      </c>
      <c r="F194">
        <v>457.64</v>
      </c>
      <c r="G194" t="s">
        <v>17</v>
      </c>
    </row>
    <row r="195" spans="1:7" x14ac:dyDescent="0.25">
      <c r="A195">
        <v>193</v>
      </c>
      <c r="B195" t="s">
        <v>79</v>
      </c>
      <c r="C195" t="s">
        <v>33</v>
      </c>
      <c r="D195" t="s">
        <v>9</v>
      </c>
      <c r="E195" t="s">
        <v>16</v>
      </c>
      <c r="F195">
        <v>-10</v>
      </c>
      <c r="G195" t="s">
        <v>13</v>
      </c>
    </row>
    <row r="196" spans="1:7" x14ac:dyDescent="0.25">
      <c r="A196">
        <v>194</v>
      </c>
      <c r="B196" t="s">
        <v>98</v>
      </c>
      <c r="C196" t="s">
        <v>33</v>
      </c>
      <c r="D196" t="s">
        <v>15</v>
      </c>
      <c r="E196">
        <v>15</v>
      </c>
      <c r="F196" t="s">
        <v>35</v>
      </c>
    </row>
    <row r="197" spans="1:7" x14ac:dyDescent="0.25">
      <c r="A197">
        <v>195</v>
      </c>
      <c r="B197" t="s">
        <v>153</v>
      </c>
      <c r="E197" t="s">
        <v>16</v>
      </c>
      <c r="G197" t="s">
        <v>17</v>
      </c>
    </row>
    <row r="198" spans="1:7" x14ac:dyDescent="0.25">
      <c r="A198">
        <v>196</v>
      </c>
      <c r="B198" t="s">
        <v>71</v>
      </c>
      <c r="C198" t="s">
        <v>26</v>
      </c>
      <c r="D198" t="s">
        <v>15</v>
      </c>
      <c r="E198">
        <v>-3</v>
      </c>
      <c r="F198" t="s">
        <v>35</v>
      </c>
      <c r="G198" t="s">
        <v>49</v>
      </c>
    </row>
    <row r="199" spans="1:7" x14ac:dyDescent="0.25">
      <c r="A199">
        <v>197</v>
      </c>
      <c r="B199" t="s">
        <v>34</v>
      </c>
      <c r="C199" t="s">
        <v>26</v>
      </c>
      <c r="D199" t="s">
        <v>23</v>
      </c>
      <c r="E199" t="s">
        <v>16</v>
      </c>
      <c r="F199">
        <v>-10</v>
      </c>
      <c r="G199" t="s">
        <v>10</v>
      </c>
    </row>
    <row r="200" spans="1:7" x14ac:dyDescent="0.25">
      <c r="A200">
        <v>198</v>
      </c>
      <c r="B200" t="s">
        <v>65</v>
      </c>
      <c r="D200" t="s">
        <v>23</v>
      </c>
      <c r="E200" t="s">
        <v>16</v>
      </c>
      <c r="F200">
        <v>-10</v>
      </c>
      <c r="G200" t="s">
        <v>49</v>
      </c>
    </row>
    <row r="201" spans="1:7" x14ac:dyDescent="0.25">
      <c r="A201">
        <v>199</v>
      </c>
      <c r="B201" t="s">
        <v>92</v>
      </c>
      <c r="C201" t="s">
        <v>26</v>
      </c>
      <c r="G20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CB58B-D0B0-49D5-A37D-47E10AFA40FC}">
  <dimension ref="A1:J201"/>
  <sheetViews>
    <sheetView workbookViewId="0">
      <selection activeCell="D1" sqref="D1"/>
    </sheetView>
  </sheetViews>
  <sheetFormatPr defaultRowHeight="15" x14ac:dyDescent="0.25"/>
  <cols>
    <col min="1" max="1" width="20.28515625" bestFit="1" customWidth="1"/>
    <col min="2" max="2" width="10.42578125" bestFit="1" customWidth="1"/>
    <col min="3" max="3" width="15.85546875" customWidth="1"/>
    <col min="4" max="4" width="72.85546875" bestFit="1" customWidth="1"/>
    <col min="5" max="5" width="14.42578125" customWidth="1"/>
    <col min="6" max="6" width="16" bestFit="1" customWidth="1"/>
    <col min="7" max="7" width="18" customWidth="1"/>
    <col min="8" max="8" width="15.42578125" customWidth="1"/>
    <col min="9" max="9" width="16.7109375" bestFit="1" customWidth="1"/>
    <col min="10" max="10" width="16" customWidth="1"/>
  </cols>
  <sheetData>
    <row r="1" spans="1:10" x14ac:dyDescent="0.25">
      <c r="A1" t="s">
        <v>154</v>
      </c>
      <c r="B1" t="s">
        <v>0</v>
      </c>
      <c r="C1" t="s">
        <v>155</v>
      </c>
      <c r="D1" t="s">
        <v>156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f>ROW() -2</f>
        <v>0</v>
      </c>
      <c r="B2">
        <v>0</v>
      </c>
      <c r="C2" t="str">
        <f t="shared" ref="C2:C33" si="0">IF(AND(B2&lt;&gt;"",E2&lt;&gt;"",F2&lt;&gt;"",G2&lt;&gt;"",H2&lt;&gt;"",I2&lt;&gt;"",J2&lt;&gt;""),"COMPLETA","INCOMPLETA")</f>
        <v>INCOMPLETA</v>
      </c>
      <c r="D2" t="str">
        <f>_xlfn.TEXTJOIN("; ", TRUE,
  IF(H2="", "QUANTIDADE_VAZIA", ""),
  IF(AND(ISNUMBER(H2), H2&lt;0), "QUANTIDADE_NEGATIVA", ""),
  IF(I2="", "PRECO_VAZIA", ""),
  IF(AND(ISNUMBER(I2), I2&lt;0), "PRECO_NEGATIVO", ""),
  IF(AND(I2&lt;&gt;"", NOT(ISNUMBER(I2))), "PRECO_TEXTO", ""),
  IF(F2="", "CLIENTE_VAZIA", ""),
  IF(G2="", "PRODUTO_VAZIA", ""),
  IF(J2="", "CIDADE_VAZIA", ""),
  IF(E2="", "DATA_VAZIA", "")
)</f>
        <v>QUANTIDADE_VAZIA</v>
      </c>
      <c r="E2" t="s">
        <v>7</v>
      </c>
      <c r="F2" t="s">
        <v>8</v>
      </c>
      <c r="G2" t="s">
        <v>9</v>
      </c>
      <c r="I2">
        <v>370.87</v>
      </c>
      <c r="J2" t="s">
        <v>10</v>
      </c>
    </row>
    <row r="3" spans="1:10" x14ac:dyDescent="0.25">
      <c r="A3">
        <f t="shared" ref="A3:A66" si="1">ROW() -2</f>
        <v>1</v>
      </c>
      <c r="B3">
        <v>1</v>
      </c>
      <c r="C3" t="str">
        <f t="shared" si="0"/>
        <v>COMPLETA</v>
      </c>
      <c r="D3" t="str">
        <f t="shared" ref="D3:D33" si="2">_xlfn.TEXTJOIN("; ", TRUE,
  IF(H3="", "QUANTIDADE_VAZIA", ""),
  IF(AND(ISNUMBER(H3), H3&lt;0), "QUANTIDADE_NEGATIVA", ""),
  IF(I3="", "PRECO_VAZIA", ""),
  IF(AND(ISNUMBER(I3), I3&lt;0), "PRECO_NEGATIVO", ""),
  IF(AND(I3&lt;&gt;"", NOT(ISNUMBER(I3))), "PRECO_TEXTO", ""),
  IF(F3="", "CLIENTE_VAZIA", ""),
  IF(G3="", "PRODUTO_VAZIA", ""),
  IF(J3="", "CIDADE_VAZIA", ""),
  IF(E3="", "DATA_VAZIA", "")
)</f>
        <v>PRECO_NEGATIVO</v>
      </c>
      <c r="E3" t="s">
        <v>11</v>
      </c>
      <c r="F3" t="s">
        <v>12</v>
      </c>
      <c r="G3" t="s">
        <v>9</v>
      </c>
      <c r="H3">
        <v>8</v>
      </c>
      <c r="I3">
        <v>-10</v>
      </c>
      <c r="J3" t="s">
        <v>13</v>
      </c>
    </row>
    <row r="4" spans="1:10" x14ac:dyDescent="0.25">
      <c r="A4">
        <f t="shared" si="1"/>
        <v>2</v>
      </c>
      <c r="B4">
        <v>2</v>
      </c>
      <c r="C4" t="str">
        <f t="shared" si="0"/>
        <v>INCOMPLETA</v>
      </c>
      <c r="D4" t="str">
        <f t="shared" si="2"/>
        <v>PRECO_VAZIA</v>
      </c>
      <c r="E4" t="s">
        <v>14</v>
      </c>
      <c r="F4" t="s">
        <v>12</v>
      </c>
      <c r="G4" t="s">
        <v>15</v>
      </c>
      <c r="H4">
        <v>10</v>
      </c>
      <c r="J4" t="s">
        <v>17</v>
      </c>
    </row>
    <row r="5" spans="1:10" x14ac:dyDescent="0.25">
      <c r="A5">
        <f t="shared" si="1"/>
        <v>3</v>
      </c>
      <c r="B5">
        <v>3</v>
      </c>
      <c r="C5" t="str">
        <f t="shared" si="0"/>
        <v>COMPLETA</v>
      </c>
      <c r="D5" t="str">
        <f t="shared" si="2"/>
        <v>PRECO_NEGATIVO</v>
      </c>
      <c r="E5" t="s">
        <v>18</v>
      </c>
      <c r="F5" t="s">
        <v>12</v>
      </c>
      <c r="G5" t="s">
        <v>19</v>
      </c>
      <c r="H5">
        <v>10</v>
      </c>
      <c r="I5">
        <v>-10</v>
      </c>
      <c r="J5" t="s">
        <v>10</v>
      </c>
    </row>
    <row r="6" spans="1:10" x14ac:dyDescent="0.25">
      <c r="A6">
        <f t="shared" si="1"/>
        <v>4</v>
      </c>
      <c r="B6">
        <v>4</v>
      </c>
      <c r="C6" t="str">
        <f t="shared" si="0"/>
        <v>INCOMPLETA</v>
      </c>
      <c r="D6" t="str">
        <f t="shared" si="2"/>
        <v>PRODUTO_VAZIA</v>
      </c>
      <c r="E6" t="s">
        <v>20</v>
      </c>
      <c r="F6" t="s">
        <v>12</v>
      </c>
      <c r="H6">
        <v>10</v>
      </c>
      <c r="I6">
        <v>292.89999999999998</v>
      </c>
      <c r="J6" t="s">
        <v>21</v>
      </c>
    </row>
    <row r="7" spans="1:10" x14ac:dyDescent="0.25">
      <c r="A7">
        <f t="shared" si="1"/>
        <v>5</v>
      </c>
      <c r="B7">
        <v>5</v>
      </c>
      <c r="C7" t="str">
        <f t="shared" si="0"/>
        <v>INCOMPLETA</v>
      </c>
      <c r="D7" t="str">
        <f t="shared" si="2"/>
        <v>PRECO_NEGATIVO; CIDADE_VAZIA</v>
      </c>
      <c r="E7" t="s">
        <v>22</v>
      </c>
      <c r="F7" t="s">
        <v>8</v>
      </c>
      <c r="G7" t="s">
        <v>23</v>
      </c>
      <c r="H7">
        <v>8</v>
      </c>
      <c r="I7">
        <v>-10</v>
      </c>
    </row>
    <row r="8" spans="1:10" x14ac:dyDescent="0.25">
      <c r="A8">
        <f t="shared" si="1"/>
        <v>6</v>
      </c>
      <c r="B8">
        <v>6</v>
      </c>
      <c r="C8" t="str">
        <f t="shared" si="0"/>
        <v>COMPLETA</v>
      </c>
      <c r="D8" t="str">
        <f t="shared" si="2"/>
        <v/>
      </c>
      <c r="E8" t="s">
        <v>24</v>
      </c>
      <c r="F8" t="s">
        <v>8</v>
      </c>
      <c r="G8" t="s">
        <v>19</v>
      </c>
      <c r="H8">
        <v>10</v>
      </c>
      <c r="I8">
        <v>353.89</v>
      </c>
      <c r="J8" t="s">
        <v>10</v>
      </c>
    </row>
    <row r="9" spans="1:10" x14ac:dyDescent="0.25">
      <c r="A9">
        <f t="shared" si="1"/>
        <v>7</v>
      </c>
      <c r="B9">
        <v>7</v>
      </c>
      <c r="C9" t="str">
        <f t="shared" si="0"/>
        <v>INCOMPLETA</v>
      </c>
      <c r="D9" t="str">
        <f t="shared" si="2"/>
        <v>QUANTIDADE_NEGATIVA; PRECO_VAZIA; CIDADE_VAZIA</v>
      </c>
      <c r="E9" t="s">
        <v>25</v>
      </c>
      <c r="F9" t="s">
        <v>26</v>
      </c>
      <c r="G9" t="s">
        <v>15</v>
      </c>
      <c r="H9">
        <v>-3</v>
      </c>
    </row>
    <row r="10" spans="1:10" x14ac:dyDescent="0.25">
      <c r="A10">
        <f t="shared" si="1"/>
        <v>8</v>
      </c>
      <c r="B10">
        <v>8</v>
      </c>
      <c r="C10" t="str">
        <f t="shared" si="0"/>
        <v>COMPLETA</v>
      </c>
      <c r="D10" t="str">
        <f t="shared" si="2"/>
        <v/>
      </c>
      <c r="E10" t="s">
        <v>27</v>
      </c>
      <c r="F10" t="s">
        <v>12</v>
      </c>
      <c r="G10" t="s">
        <v>9</v>
      </c>
      <c r="H10">
        <v>10</v>
      </c>
      <c r="I10">
        <v>206.57</v>
      </c>
      <c r="J10" t="s">
        <v>13</v>
      </c>
    </row>
    <row r="11" spans="1:10" x14ac:dyDescent="0.25">
      <c r="A11">
        <f t="shared" si="1"/>
        <v>9</v>
      </c>
      <c r="B11">
        <v>8</v>
      </c>
      <c r="C11" t="str">
        <f t="shared" si="0"/>
        <v>INCOMPLETA</v>
      </c>
      <c r="D11" t="str">
        <f t="shared" si="2"/>
        <v>PRECO_VAZIA; PRODUTO_VAZIA</v>
      </c>
      <c r="E11" t="s">
        <v>44</v>
      </c>
      <c r="F11" t="s">
        <v>12</v>
      </c>
      <c r="H11">
        <v>10</v>
      </c>
      <c r="J11" t="s">
        <v>10</v>
      </c>
    </row>
    <row r="12" spans="1:10" x14ac:dyDescent="0.25">
      <c r="A12">
        <f t="shared" si="1"/>
        <v>10</v>
      </c>
      <c r="B12">
        <v>9</v>
      </c>
      <c r="C12" t="str">
        <f t="shared" si="0"/>
        <v>COMPLETA</v>
      </c>
      <c r="D12" t="str">
        <f t="shared" si="2"/>
        <v>QUANTIDADE_NEGATIVA; PRECO_NEGATIVO</v>
      </c>
      <c r="E12" t="s">
        <v>28</v>
      </c>
      <c r="F12" t="s">
        <v>8</v>
      </c>
      <c r="G12" t="s">
        <v>9</v>
      </c>
      <c r="H12">
        <v>-3</v>
      </c>
      <c r="I12">
        <v>-10</v>
      </c>
      <c r="J12" t="s">
        <v>13</v>
      </c>
    </row>
    <row r="13" spans="1:10" x14ac:dyDescent="0.25">
      <c r="A13">
        <f t="shared" si="1"/>
        <v>11</v>
      </c>
      <c r="B13">
        <v>10</v>
      </c>
      <c r="C13" t="str">
        <f t="shared" si="0"/>
        <v>INCOMPLETA</v>
      </c>
      <c r="D13" t="str">
        <f t="shared" si="2"/>
        <v>QUANTIDADE_NEGATIVA; PRECO_NEGATIVO; CLIENTE_VAZIA; PRODUTO_VAZIA</v>
      </c>
      <c r="E13" t="s">
        <v>29</v>
      </c>
      <c r="H13">
        <v>-3</v>
      </c>
      <c r="I13">
        <v>-10</v>
      </c>
      <c r="J13" t="s">
        <v>17</v>
      </c>
    </row>
    <row r="14" spans="1:10" x14ac:dyDescent="0.25">
      <c r="A14">
        <f t="shared" si="1"/>
        <v>12</v>
      </c>
      <c r="B14">
        <v>11</v>
      </c>
      <c r="C14" t="str">
        <f t="shared" si="0"/>
        <v>INCOMPLETA</v>
      </c>
      <c r="D14" t="str">
        <f t="shared" si="2"/>
        <v>PRECO_VAZIA; CLIENTE_VAZIA; CIDADE_VAZIA</v>
      </c>
      <c r="E14" t="s">
        <v>30</v>
      </c>
      <c r="G14" t="s">
        <v>31</v>
      </c>
      <c r="H14">
        <v>3</v>
      </c>
    </row>
    <row r="15" spans="1:10" x14ac:dyDescent="0.25">
      <c r="A15">
        <f t="shared" si="1"/>
        <v>13</v>
      </c>
      <c r="B15">
        <v>12</v>
      </c>
      <c r="C15" t="str">
        <f t="shared" si="0"/>
        <v>COMPLETA</v>
      </c>
      <c r="D15" t="str">
        <f t="shared" si="2"/>
        <v>QUANTIDADE_NEGATIVA; PRECO_NEGATIVO</v>
      </c>
      <c r="E15" t="s">
        <v>32</v>
      </c>
      <c r="F15" t="s">
        <v>33</v>
      </c>
      <c r="G15" t="s">
        <v>23</v>
      </c>
      <c r="H15">
        <v>-3</v>
      </c>
      <c r="I15">
        <v>-10</v>
      </c>
      <c r="J15" t="s">
        <v>10</v>
      </c>
    </row>
    <row r="16" spans="1:10" x14ac:dyDescent="0.25">
      <c r="A16">
        <f t="shared" si="1"/>
        <v>14</v>
      </c>
      <c r="B16">
        <v>13</v>
      </c>
      <c r="C16" t="str">
        <f t="shared" si="0"/>
        <v>COMPLETA</v>
      </c>
      <c r="D16" t="str">
        <f t="shared" si="2"/>
        <v>PRECO_TEXTO</v>
      </c>
      <c r="E16" t="s">
        <v>34</v>
      </c>
      <c r="F16" t="s">
        <v>12</v>
      </c>
      <c r="G16" t="s">
        <v>23</v>
      </c>
      <c r="H16">
        <v>10</v>
      </c>
      <c r="I16" t="s">
        <v>35</v>
      </c>
      <c r="J16" t="s">
        <v>21</v>
      </c>
    </row>
    <row r="17" spans="1:10" x14ac:dyDescent="0.25">
      <c r="A17">
        <f t="shared" si="1"/>
        <v>15</v>
      </c>
      <c r="B17">
        <v>14</v>
      </c>
      <c r="C17" t="str">
        <f t="shared" si="0"/>
        <v>INCOMPLETA</v>
      </c>
      <c r="D17" t="str">
        <f t="shared" si="2"/>
        <v>QUANTIDADE_VAZIA; CIDADE_VAZIA</v>
      </c>
      <c r="E17" t="s">
        <v>36</v>
      </c>
      <c r="F17" t="s">
        <v>33</v>
      </c>
      <c r="G17" t="s">
        <v>37</v>
      </c>
      <c r="I17">
        <v>258.76</v>
      </c>
    </row>
    <row r="18" spans="1:10" x14ac:dyDescent="0.25">
      <c r="A18">
        <f t="shared" si="1"/>
        <v>16</v>
      </c>
      <c r="B18">
        <v>15</v>
      </c>
      <c r="C18" t="str">
        <f t="shared" si="0"/>
        <v>INCOMPLETA</v>
      </c>
      <c r="D18" t="str">
        <f t="shared" si="2"/>
        <v>CLIENTE_VAZIA</v>
      </c>
      <c r="E18" t="s">
        <v>38</v>
      </c>
      <c r="G18" t="s">
        <v>9</v>
      </c>
      <c r="H18">
        <v>10</v>
      </c>
      <c r="I18">
        <v>383.63</v>
      </c>
      <c r="J18" t="s">
        <v>10</v>
      </c>
    </row>
    <row r="19" spans="1:10" x14ac:dyDescent="0.25">
      <c r="A19">
        <f t="shared" si="1"/>
        <v>17</v>
      </c>
      <c r="B19">
        <v>16</v>
      </c>
      <c r="C19" t="str">
        <f t="shared" si="0"/>
        <v>INCOMPLETA</v>
      </c>
      <c r="D19" t="str">
        <f t="shared" si="2"/>
        <v>QUANTIDADE_VAZIA</v>
      </c>
      <c r="E19" t="s">
        <v>39</v>
      </c>
      <c r="F19" t="s">
        <v>12</v>
      </c>
      <c r="G19" t="s">
        <v>19</v>
      </c>
      <c r="I19">
        <v>38.380000000000003</v>
      </c>
      <c r="J19" t="s">
        <v>21</v>
      </c>
    </row>
    <row r="20" spans="1:10" x14ac:dyDescent="0.25">
      <c r="A20">
        <f t="shared" si="1"/>
        <v>18</v>
      </c>
      <c r="B20">
        <v>17</v>
      </c>
      <c r="C20" t="str">
        <f t="shared" si="0"/>
        <v>INCOMPLETA</v>
      </c>
      <c r="D20" t="str">
        <f t="shared" si="2"/>
        <v>QUANTIDADE_NEGATIVA; PRECO_VAZIA; CLIENTE_VAZIA</v>
      </c>
      <c r="E20" t="s">
        <v>40</v>
      </c>
      <c r="G20" t="s">
        <v>15</v>
      </c>
      <c r="H20">
        <v>-3</v>
      </c>
      <c r="J20" t="s">
        <v>17</v>
      </c>
    </row>
    <row r="21" spans="1:10" x14ac:dyDescent="0.25">
      <c r="A21">
        <f t="shared" si="1"/>
        <v>19</v>
      </c>
      <c r="B21">
        <v>18</v>
      </c>
      <c r="C21" t="str">
        <f t="shared" si="0"/>
        <v>INCOMPLETA</v>
      </c>
      <c r="D21" t="str">
        <f t="shared" si="2"/>
        <v>QUANTIDADE_VAZIA; PRECO_NEGATIVO; CIDADE_VAZIA</v>
      </c>
      <c r="E21" t="s">
        <v>41</v>
      </c>
      <c r="F21" t="s">
        <v>33</v>
      </c>
      <c r="G21" t="s">
        <v>9</v>
      </c>
      <c r="I21">
        <v>-10</v>
      </c>
    </row>
    <row r="22" spans="1:10" x14ac:dyDescent="0.25">
      <c r="A22">
        <f t="shared" si="1"/>
        <v>20</v>
      </c>
      <c r="B22">
        <v>19</v>
      </c>
      <c r="C22" t="str">
        <f t="shared" si="0"/>
        <v>INCOMPLETA</v>
      </c>
      <c r="D22" t="str">
        <f t="shared" si="2"/>
        <v>QUANTIDADE_VAZIA; PRECO_TEXTO; CLIENTE_VAZIA</v>
      </c>
      <c r="E22" t="s">
        <v>42</v>
      </c>
      <c r="G22" t="s">
        <v>31</v>
      </c>
      <c r="I22" t="s">
        <v>35</v>
      </c>
      <c r="J22" t="s">
        <v>21</v>
      </c>
    </row>
    <row r="23" spans="1:10" x14ac:dyDescent="0.25">
      <c r="A23">
        <f t="shared" si="1"/>
        <v>21</v>
      </c>
      <c r="B23">
        <v>19</v>
      </c>
      <c r="C23" t="str">
        <f t="shared" si="0"/>
        <v>INCOMPLETA</v>
      </c>
      <c r="D23" t="str">
        <f t="shared" si="2"/>
        <v>PRECO_VAZIA; PRODUTO_VAZIA</v>
      </c>
      <c r="E23" t="s">
        <v>63</v>
      </c>
      <c r="F23" t="s">
        <v>26</v>
      </c>
      <c r="H23">
        <v>10</v>
      </c>
      <c r="J23" t="s">
        <v>49</v>
      </c>
    </row>
    <row r="24" spans="1:10" x14ac:dyDescent="0.25">
      <c r="A24">
        <f t="shared" si="1"/>
        <v>22</v>
      </c>
      <c r="B24">
        <v>20</v>
      </c>
      <c r="C24" t="str">
        <f t="shared" si="0"/>
        <v>INCOMPLETA</v>
      </c>
      <c r="D24" t="str">
        <f t="shared" si="2"/>
        <v>CLIENTE_VAZIA</v>
      </c>
      <c r="E24" t="s">
        <v>43</v>
      </c>
      <c r="G24" t="s">
        <v>9</v>
      </c>
      <c r="H24">
        <v>1</v>
      </c>
      <c r="I24">
        <v>356.84</v>
      </c>
      <c r="J24" t="s">
        <v>13</v>
      </c>
    </row>
    <row r="25" spans="1:10" x14ac:dyDescent="0.25">
      <c r="A25">
        <f t="shared" si="1"/>
        <v>23</v>
      </c>
      <c r="B25">
        <v>22</v>
      </c>
      <c r="C25" t="str">
        <f t="shared" si="0"/>
        <v>INCOMPLETA</v>
      </c>
      <c r="D25" t="str">
        <f t="shared" si="2"/>
        <v>QUANTIDADE_NEGATIVA; PRECO_VAZIA; CLIENTE_VAZIA</v>
      </c>
      <c r="E25" t="s">
        <v>45</v>
      </c>
      <c r="G25" t="s">
        <v>31</v>
      </c>
      <c r="H25">
        <v>-3</v>
      </c>
      <c r="J25" t="s">
        <v>21</v>
      </c>
    </row>
    <row r="26" spans="1:10" x14ac:dyDescent="0.25">
      <c r="A26">
        <f t="shared" si="1"/>
        <v>24</v>
      </c>
      <c r="B26">
        <v>24</v>
      </c>
      <c r="C26" t="str">
        <f t="shared" si="0"/>
        <v>INCOMPLETA</v>
      </c>
      <c r="D26" t="str">
        <f t="shared" si="2"/>
        <v>QUANTIDADE_VAZIA; PRECO_VAZIA</v>
      </c>
      <c r="E26" t="s">
        <v>48</v>
      </c>
      <c r="F26" t="s">
        <v>12</v>
      </c>
      <c r="G26" t="s">
        <v>9</v>
      </c>
      <c r="J26" t="s">
        <v>49</v>
      </c>
    </row>
    <row r="27" spans="1:10" x14ac:dyDescent="0.25">
      <c r="A27">
        <f t="shared" si="1"/>
        <v>25</v>
      </c>
      <c r="B27">
        <v>25</v>
      </c>
      <c r="C27" t="str">
        <f t="shared" si="0"/>
        <v>COMPLETA</v>
      </c>
      <c r="D27" t="str">
        <f t="shared" si="2"/>
        <v/>
      </c>
      <c r="E27" t="s">
        <v>50</v>
      </c>
      <c r="F27" t="s">
        <v>26</v>
      </c>
      <c r="G27" t="s">
        <v>23</v>
      </c>
      <c r="H27">
        <v>15</v>
      </c>
      <c r="I27">
        <v>34.79</v>
      </c>
      <c r="J27" t="s">
        <v>21</v>
      </c>
    </row>
    <row r="28" spans="1:10" x14ac:dyDescent="0.25">
      <c r="A28">
        <f t="shared" si="1"/>
        <v>26</v>
      </c>
      <c r="B28">
        <v>26</v>
      </c>
      <c r="C28" t="str">
        <f t="shared" si="0"/>
        <v>COMPLETA</v>
      </c>
      <c r="D28" t="str">
        <f t="shared" si="2"/>
        <v>QUANTIDADE_NEGATIVA; PRECO_NEGATIVO</v>
      </c>
      <c r="E28" t="s">
        <v>51</v>
      </c>
      <c r="F28" t="s">
        <v>26</v>
      </c>
      <c r="G28" t="s">
        <v>47</v>
      </c>
      <c r="H28">
        <v>-3</v>
      </c>
      <c r="I28">
        <v>-10</v>
      </c>
      <c r="J28" t="s">
        <v>21</v>
      </c>
    </row>
    <row r="29" spans="1:10" x14ac:dyDescent="0.25">
      <c r="A29">
        <f t="shared" si="1"/>
        <v>27</v>
      </c>
      <c r="B29">
        <v>27</v>
      </c>
      <c r="C29" t="str">
        <f t="shared" si="0"/>
        <v>COMPLETA</v>
      </c>
      <c r="D29" t="str">
        <f t="shared" si="2"/>
        <v>PRECO_NEGATIVO</v>
      </c>
      <c r="E29" t="s">
        <v>52</v>
      </c>
      <c r="F29" t="s">
        <v>33</v>
      </c>
      <c r="G29" t="s">
        <v>53</v>
      </c>
      <c r="H29">
        <v>10</v>
      </c>
      <c r="I29">
        <v>-10</v>
      </c>
      <c r="J29" t="s">
        <v>13</v>
      </c>
    </row>
    <row r="30" spans="1:10" x14ac:dyDescent="0.25">
      <c r="A30">
        <f t="shared" si="1"/>
        <v>28</v>
      </c>
      <c r="B30">
        <v>28</v>
      </c>
      <c r="C30" t="str">
        <f t="shared" si="0"/>
        <v>INCOMPLETA</v>
      </c>
      <c r="D30" t="str">
        <f t="shared" si="2"/>
        <v>PRECO_NEGATIVO; PRODUTO_VAZIA</v>
      </c>
      <c r="E30" t="s">
        <v>54</v>
      </c>
      <c r="F30" t="s">
        <v>12</v>
      </c>
      <c r="H30">
        <v>10</v>
      </c>
      <c r="I30">
        <v>-10</v>
      </c>
      <c r="J30" t="s">
        <v>10</v>
      </c>
    </row>
    <row r="31" spans="1:10" x14ac:dyDescent="0.25">
      <c r="A31">
        <f t="shared" si="1"/>
        <v>29</v>
      </c>
      <c r="B31">
        <v>29</v>
      </c>
      <c r="C31" t="str">
        <f t="shared" si="0"/>
        <v>COMPLETA</v>
      </c>
      <c r="D31" t="str">
        <f t="shared" si="2"/>
        <v/>
      </c>
      <c r="E31" t="s">
        <v>55</v>
      </c>
      <c r="F31" t="s">
        <v>26</v>
      </c>
      <c r="G31" t="s">
        <v>37</v>
      </c>
      <c r="H31">
        <v>17</v>
      </c>
      <c r="I31">
        <v>427.16</v>
      </c>
      <c r="J31" t="s">
        <v>10</v>
      </c>
    </row>
    <row r="32" spans="1:10" x14ac:dyDescent="0.25">
      <c r="A32">
        <f t="shared" si="1"/>
        <v>30</v>
      </c>
      <c r="B32">
        <v>31</v>
      </c>
      <c r="C32" t="str">
        <f t="shared" si="0"/>
        <v>COMPLETA</v>
      </c>
      <c r="D32" t="str">
        <f t="shared" si="2"/>
        <v>PRECO_NEGATIVO</v>
      </c>
      <c r="E32" t="s">
        <v>57</v>
      </c>
      <c r="F32" t="s">
        <v>8</v>
      </c>
      <c r="G32" t="s">
        <v>53</v>
      </c>
      <c r="H32">
        <v>10</v>
      </c>
      <c r="I32">
        <v>-10</v>
      </c>
      <c r="J32" t="s">
        <v>13</v>
      </c>
    </row>
    <row r="33" spans="1:10" x14ac:dyDescent="0.25">
      <c r="A33">
        <f t="shared" si="1"/>
        <v>31</v>
      </c>
      <c r="B33">
        <v>32</v>
      </c>
      <c r="C33" t="str">
        <f t="shared" si="0"/>
        <v>COMPLETA</v>
      </c>
      <c r="D33" t="str">
        <f t="shared" si="2"/>
        <v/>
      </c>
      <c r="E33" t="s">
        <v>58</v>
      </c>
      <c r="F33" t="s">
        <v>33</v>
      </c>
      <c r="G33" t="s">
        <v>19</v>
      </c>
      <c r="H33">
        <v>3</v>
      </c>
      <c r="I33">
        <v>234.56</v>
      </c>
      <c r="J33" t="s">
        <v>21</v>
      </c>
    </row>
    <row r="34" spans="1:10" x14ac:dyDescent="0.25">
      <c r="A34">
        <f t="shared" si="1"/>
        <v>32</v>
      </c>
      <c r="B34">
        <v>33</v>
      </c>
      <c r="C34" t="str">
        <f t="shared" ref="C34:C65" si="3">IF(AND(B34&lt;&gt;"",E34&lt;&gt;"",F34&lt;&gt;"",G34&lt;&gt;"",H34&lt;&gt;"",I34&lt;&gt;"",J34&lt;&gt;""),"COMPLETA","INCOMPLETA")</f>
        <v>COMPLETA</v>
      </c>
      <c r="D34" t="str">
        <f t="shared" ref="D34:D65" si="4">_xlfn.TEXTJOIN("; ", TRUE,
  IF(H34="", "QUANTIDADE_VAZIA", ""),
  IF(AND(ISNUMBER(H34), H34&lt;0), "QUANTIDADE_NEGATIVA", ""),
  IF(I34="", "PRECO_VAZIA", ""),
  IF(AND(ISNUMBER(I34), I34&lt;0), "PRECO_NEGATIVO", ""),
  IF(AND(I34&lt;&gt;"", NOT(ISNUMBER(I34))), "PRECO_TEXTO", ""),
  IF(F34="", "CLIENTE_VAZIA", ""),
  IF(G34="", "PRODUTO_VAZIA", ""),
  IF(J34="", "CIDADE_VAZIA", ""),
  IF(E34="", "DATA_VAZIA", "")
)</f>
        <v>PRECO_TEXTO</v>
      </c>
      <c r="E34" t="s">
        <v>59</v>
      </c>
      <c r="F34" t="s">
        <v>8</v>
      </c>
      <c r="G34" t="s">
        <v>15</v>
      </c>
      <c r="H34">
        <v>12</v>
      </c>
      <c r="I34" t="s">
        <v>35</v>
      </c>
      <c r="J34" t="s">
        <v>17</v>
      </c>
    </row>
    <row r="35" spans="1:10" x14ac:dyDescent="0.25">
      <c r="A35">
        <f t="shared" si="1"/>
        <v>33</v>
      </c>
      <c r="B35">
        <v>34</v>
      </c>
      <c r="C35" t="str">
        <f t="shared" si="3"/>
        <v>INCOMPLETA</v>
      </c>
      <c r="D35" t="str">
        <f t="shared" si="4"/>
        <v>PRODUTO_VAZIA</v>
      </c>
      <c r="E35" t="s">
        <v>60</v>
      </c>
      <c r="F35" t="s">
        <v>8</v>
      </c>
      <c r="H35">
        <v>10</v>
      </c>
      <c r="I35">
        <v>466.56</v>
      </c>
      <c r="J35" t="s">
        <v>13</v>
      </c>
    </row>
    <row r="36" spans="1:10" x14ac:dyDescent="0.25">
      <c r="A36">
        <f t="shared" si="1"/>
        <v>34</v>
      </c>
      <c r="B36">
        <v>35</v>
      </c>
      <c r="C36" t="str">
        <f t="shared" si="3"/>
        <v>INCOMPLETA</v>
      </c>
      <c r="D36" t="str">
        <f t="shared" si="4"/>
        <v>PRECO_TEXTO; CLIENTE_VAZIA</v>
      </c>
      <c r="E36" t="s">
        <v>61</v>
      </c>
      <c r="G36" t="s">
        <v>15</v>
      </c>
      <c r="H36">
        <v>10</v>
      </c>
      <c r="I36" t="s">
        <v>35</v>
      </c>
      <c r="J36" t="s">
        <v>13</v>
      </c>
    </row>
    <row r="37" spans="1:10" x14ac:dyDescent="0.25">
      <c r="A37">
        <f t="shared" si="1"/>
        <v>35</v>
      </c>
      <c r="B37">
        <v>36</v>
      </c>
      <c r="C37" t="str">
        <f t="shared" si="3"/>
        <v>INCOMPLETA</v>
      </c>
      <c r="D37" t="str">
        <f t="shared" si="4"/>
        <v>PRECO_NEGATIVO; CLIENTE_VAZIA</v>
      </c>
      <c r="E37" t="s">
        <v>62</v>
      </c>
      <c r="G37" t="s">
        <v>31</v>
      </c>
      <c r="H37">
        <v>9</v>
      </c>
      <c r="I37">
        <v>-10</v>
      </c>
      <c r="J37" t="s">
        <v>17</v>
      </c>
    </row>
    <row r="38" spans="1:10" x14ac:dyDescent="0.25">
      <c r="A38">
        <f t="shared" si="1"/>
        <v>36</v>
      </c>
      <c r="B38">
        <v>39</v>
      </c>
      <c r="C38" t="str">
        <f t="shared" si="3"/>
        <v>INCOMPLETA</v>
      </c>
      <c r="D38" t="str">
        <f t="shared" si="4"/>
        <v>QUANTIDADE_VAZIA</v>
      </c>
      <c r="E38" t="s">
        <v>64</v>
      </c>
      <c r="F38" t="s">
        <v>8</v>
      </c>
      <c r="G38" t="s">
        <v>37</v>
      </c>
      <c r="I38">
        <v>344.21</v>
      </c>
      <c r="J38" t="s">
        <v>17</v>
      </c>
    </row>
    <row r="39" spans="1:10" x14ac:dyDescent="0.25">
      <c r="A39">
        <f t="shared" si="1"/>
        <v>37</v>
      </c>
      <c r="B39">
        <v>40</v>
      </c>
      <c r="C39" t="str">
        <f t="shared" si="3"/>
        <v>INCOMPLETA</v>
      </c>
      <c r="D39" t="str">
        <f t="shared" si="4"/>
        <v>QUANTIDADE_VAZIA; PRECO_VAZIA; CLIENTE_VAZIA</v>
      </c>
      <c r="E39" t="s">
        <v>65</v>
      </c>
      <c r="G39" t="s">
        <v>15</v>
      </c>
      <c r="J39" t="s">
        <v>49</v>
      </c>
    </row>
    <row r="40" spans="1:10" x14ac:dyDescent="0.25">
      <c r="A40">
        <f t="shared" si="1"/>
        <v>38</v>
      </c>
      <c r="B40">
        <v>42</v>
      </c>
      <c r="C40" t="str">
        <f t="shared" si="3"/>
        <v>INCOMPLETA</v>
      </c>
      <c r="D40" t="str">
        <f t="shared" si="4"/>
        <v>PRECO_VAZIA</v>
      </c>
      <c r="E40" t="s">
        <v>67</v>
      </c>
      <c r="F40" t="s">
        <v>26</v>
      </c>
      <c r="G40" t="s">
        <v>9</v>
      </c>
      <c r="H40">
        <v>10</v>
      </c>
      <c r="J40" t="s">
        <v>13</v>
      </c>
    </row>
    <row r="41" spans="1:10" x14ac:dyDescent="0.25">
      <c r="A41">
        <f t="shared" si="1"/>
        <v>39</v>
      </c>
      <c r="B41">
        <v>44</v>
      </c>
      <c r="C41" t="str">
        <f t="shared" si="3"/>
        <v>COMPLETA</v>
      </c>
      <c r="D41" t="str">
        <f t="shared" si="4"/>
        <v>PRECO_TEXTO</v>
      </c>
      <c r="E41" t="s">
        <v>69</v>
      </c>
      <c r="F41" t="s">
        <v>8</v>
      </c>
      <c r="G41" t="s">
        <v>37</v>
      </c>
      <c r="H41">
        <v>10</v>
      </c>
      <c r="I41" t="s">
        <v>35</v>
      </c>
      <c r="J41" t="s">
        <v>21</v>
      </c>
    </row>
    <row r="42" spans="1:10" x14ac:dyDescent="0.25">
      <c r="A42">
        <f t="shared" si="1"/>
        <v>40</v>
      </c>
      <c r="B42">
        <v>45</v>
      </c>
      <c r="C42" t="str">
        <f t="shared" si="3"/>
        <v>INCOMPLETA</v>
      </c>
      <c r="D42" t="str">
        <f t="shared" si="4"/>
        <v>PRECO_VAZIA</v>
      </c>
      <c r="E42" t="s">
        <v>70</v>
      </c>
      <c r="F42" t="s">
        <v>8</v>
      </c>
      <c r="G42" t="s">
        <v>19</v>
      </c>
      <c r="H42">
        <v>14</v>
      </c>
      <c r="J42" t="s">
        <v>17</v>
      </c>
    </row>
    <row r="43" spans="1:10" x14ac:dyDescent="0.25">
      <c r="A43">
        <f t="shared" si="1"/>
        <v>41</v>
      </c>
      <c r="B43">
        <v>47</v>
      </c>
      <c r="C43" t="str">
        <f t="shared" si="3"/>
        <v>INCOMPLETA</v>
      </c>
      <c r="D43" t="str">
        <f t="shared" si="4"/>
        <v>QUANTIDADE_NEGATIVA; PRECO_TEXTO; PRODUTO_VAZIA</v>
      </c>
      <c r="E43" t="s">
        <v>71</v>
      </c>
      <c r="F43" t="s">
        <v>8</v>
      </c>
      <c r="H43">
        <v>-3</v>
      </c>
      <c r="I43" t="s">
        <v>35</v>
      </c>
      <c r="J43" t="s">
        <v>10</v>
      </c>
    </row>
    <row r="44" spans="1:10" x14ac:dyDescent="0.25">
      <c r="A44">
        <f t="shared" si="1"/>
        <v>42</v>
      </c>
      <c r="B44">
        <v>48</v>
      </c>
      <c r="C44" t="str">
        <f t="shared" si="3"/>
        <v>COMPLETA</v>
      </c>
      <c r="D44" t="str">
        <f t="shared" si="4"/>
        <v/>
      </c>
      <c r="E44" t="s">
        <v>72</v>
      </c>
      <c r="F44" t="s">
        <v>33</v>
      </c>
      <c r="G44" t="s">
        <v>15</v>
      </c>
      <c r="H44">
        <v>10</v>
      </c>
      <c r="I44">
        <v>208.98</v>
      </c>
      <c r="J44" t="s">
        <v>17</v>
      </c>
    </row>
    <row r="45" spans="1:10" x14ac:dyDescent="0.25">
      <c r="A45">
        <f t="shared" si="1"/>
        <v>43</v>
      </c>
      <c r="B45">
        <v>48</v>
      </c>
      <c r="C45" t="str">
        <f t="shared" si="3"/>
        <v>INCOMPLETA</v>
      </c>
      <c r="D45" t="str">
        <f t="shared" si="4"/>
        <v>QUANTIDADE_VAZIA; PRECO_NEGATIVO</v>
      </c>
      <c r="E45" t="s">
        <v>90</v>
      </c>
      <c r="F45" t="s">
        <v>26</v>
      </c>
      <c r="G45" t="s">
        <v>47</v>
      </c>
      <c r="I45">
        <v>-10</v>
      </c>
      <c r="J45" t="s">
        <v>49</v>
      </c>
    </row>
    <row r="46" spans="1:10" x14ac:dyDescent="0.25">
      <c r="A46">
        <f t="shared" si="1"/>
        <v>44</v>
      </c>
      <c r="B46">
        <v>49</v>
      </c>
      <c r="C46" t="str">
        <f t="shared" si="3"/>
        <v>INCOMPLETA</v>
      </c>
      <c r="D46" t="str">
        <f t="shared" si="4"/>
        <v>PRECO_NEGATIVO; CIDADE_VAZIA</v>
      </c>
      <c r="E46" t="s">
        <v>68</v>
      </c>
      <c r="F46" t="s">
        <v>8</v>
      </c>
      <c r="G46" t="s">
        <v>53</v>
      </c>
      <c r="H46">
        <v>10</v>
      </c>
      <c r="I46">
        <v>-10</v>
      </c>
    </row>
    <row r="47" spans="1:10" x14ac:dyDescent="0.25">
      <c r="A47">
        <f t="shared" si="1"/>
        <v>45</v>
      </c>
      <c r="B47">
        <v>49</v>
      </c>
      <c r="C47" t="str">
        <f t="shared" si="3"/>
        <v>INCOMPLETA</v>
      </c>
      <c r="D47" t="str">
        <f t="shared" si="4"/>
        <v>QUANTIDADE_NEGATIVA; PRECO_VAZIA; CLIENTE_VAZIA</v>
      </c>
      <c r="E47" t="s">
        <v>73</v>
      </c>
      <c r="G47" t="s">
        <v>19</v>
      </c>
      <c r="H47">
        <v>-3</v>
      </c>
      <c r="J47" t="s">
        <v>10</v>
      </c>
    </row>
    <row r="48" spans="1:10" x14ac:dyDescent="0.25">
      <c r="A48">
        <f t="shared" si="1"/>
        <v>46</v>
      </c>
      <c r="B48">
        <v>50</v>
      </c>
      <c r="C48" t="str">
        <f t="shared" si="3"/>
        <v>INCOMPLETA</v>
      </c>
      <c r="D48" t="str">
        <f t="shared" si="4"/>
        <v>PRECO_VAZIA; CIDADE_VAZIA</v>
      </c>
      <c r="E48" t="s">
        <v>74</v>
      </c>
      <c r="F48" t="s">
        <v>26</v>
      </c>
      <c r="G48" t="s">
        <v>23</v>
      </c>
      <c r="H48">
        <v>10</v>
      </c>
    </row>
    <row r="49" spans="1:10" x14ac:dyDescent="0.25">
      <c r="A49">
        <f t="shared" si="1"/>
        <v>47</v>
      </c>
      <c r="B49">
        <v>51</v>
      </c>
      <c r="C49" t="str">
        <f t="shared" si="3"/>
        <v>INCOMPLETA</v>
      </c>
      <c r="D49" t="str">
        <f t="shared" si="4"/>
        <v>QUANTIDADE_VAZIA</v>
      </c>
      <c r="E49" t="s">
        <v>75</v>
      </c>
      <c r="F49" t="s">
        <v>26</v>
      </c>
      <c r="G49" t="s">
        <v>37</v>
      </c>
      <c r="I49">
        <v>492.13</v>
      </c>
      <c r="J49" t="s">
        <v>49</v>
      </c>
    </row>
    <row r="50" spans="1:10" x14ac:dyDescent="0.25">
      <c r="A50">
        <f t="shared" si="1"/>
        <v>48</v>
      </c>
      <c r="B50">
        <v>52</v>
      </c>
      <c r="C50" t="str">
        <f t="shared" si="3"/>
        <v>INCOMPLETA</v>
      </c>
      <c r="D50" t="str">
        <f t="shared" si="4"/>
        <v>QUANTIDADE_NEGATIVA; PRECO_VAZIA; CLIENTE_VAZIA; CIDADE_VAZIA</v>
      </c>
      <c r="E50" t="s">
        <v>76</v>
      </c>
      <c r="G50" t="s">
        <v>9</v>
      </c>
      <c r="H50">
        <v>-3</v>
      </c>
    </row>
    <row r="51" spans="1:10" x14ac:dyDescent="0.25">
      <c r="A51">
        <f t="shared" si="1"/>
        <v>49</v>
      </c>
      <c r="B51">
        <v>53</v>
      </c>
      <c r="C51" t="str">
        <f t="shared" si="3"/>
        <v>INCOMPLETA</v>
      </c>
      <c r="D51" t="str">
        <f t="shared" si="4"/>
        <v>QUANTIDADE_VAZIA; PRECO_NEGATIVO</v>
      </c>
      <c r="E51" t="s">
        <v>77</v>
      </c>
      <c r="F51" t="s">
        <v>12</v>
      </c>
      <c r="G51" t="s">
        <v>47</v>
      </c>
      <c r="I51">
        <v>-10</v>
      </c>
      <c r="J51" t="s">
        <v>21</v>
      </c>
    </row>
    <row r="52" spans="1:10" x14ac:dyDescent="0.25">
      <c r="A52">
        <f t="shared" si="1"/>
        <v>50</v>
      </c>
      <c r="B52">
        <v>54</v>
      </c>
      <c r="C52" t="str">
        <f t="shared" si="3"/>
        <v>COMPLETA</v>
      </c>
      <c r="D52" t="str">
        <f t="shared" si="4"/>
        <v>PRECO_NEGATIVO</v>
      </c>
      <c r="E52" t="s">
        <v>71</v>
      </c>
      <c r="F52" t="s">
        <v>33</v>
      </c>
      <c r="G52" t="s">
        <v>15</v>
      </c>
      <c r="H52">
        <v>10</v>
      </c>
      <c r="I52">
        <v>-10</v>
      </c>
      <c r="J52" t="s">
        <v>10</v>
      </c>
    </row>
    <row r="53" spans="1:10" x14ac:dyDescent="0.25">
      <c r="A53">
        <f t="shared" si="1"/>
        <v>51</v>
      </c>
      <c r="B53">
        <v>54</v>
      </c>
      <c r="C53" t="str">
        <f t="shared" si="3"/>
        <v>INCOMPLETA</v>
      </c>
      <c r="D53" t="str">
        <f t="shared" si="4"/>
        <v>PRECO_VAZIA; CLIENTE_VAZIA</v>
      </c>
      <c r="E53" t="s">
        <v>124</v>
      </c>
      <c r="G53" t="s">
        <v>37</v>
      </c>
      <c r="H53">
        <v>10</v>
      </c>
      <c r="J53" t="s">
        <v>10</v>
      </c>
    </row>
    <row r="54" spans="1:10" x14ac:dyDescent="0.25">
      <c r="A54">
        <f t="shared" si="1"/>
        <v>52</v>
      </c>
      <c r="B54">
        <v>55</v>
      </c>
      <c r="C54" t="str">
        <f t="shared" si="3"/>
        <v>INCOMPLETA</v>
      </c>
      <c r="D54" t="str">
        <f t="shared" si="4"/>
        <v>QUANTIDADE_VAZIA; PRECO_NEGATIVO; PRODUTO_VAZIA</v>
      </c>
      <c r="E54" t="s">
        <v>59</v>
      </c>
      <c r="F54" t="s">
        <v>33</v>
      </c>
      <c r="I54">
        <v>-10</v>
      </c>
      <c r="J54" t="s">
        <v>49</v>
      </c>
    </row>
    <row r="55" spans="1:10" x14ac:dyDescent="0.25">
      <c r="A55">
        <f t="shared" si="1"/>
        <v>53</v>
      </c>
      <c r="B55">
        <v>56</v>
      </c>
      <c r="C55" t="str">
        <f t="shared" si="3"/>
        <v>INCOMPLETA</v>
      </c>
      <c r="D55" t="str">
        <f t="shared" si="4"/>
        <v>QUANTIDADE_VAZIA; PRODUTO_VAZIA; CIDADE_VAZIA</v>
      </c>
      <c r="E55" t="s">
        <v>29</v>
      </c>
      <c r="F55" t="s">
        <v>8</v>
      </c>
      <c r="I55">
        <v>144.55000000000001</v>
      </c>
    </row>
    <row r="56" spans="1:10" x14ac:dyDescent="0.25">
      <c r="A56">
        <f t="shared" si="1"/>
        <v>54</v>
      </c>
      <c r="B56">
        <v>56</v>
      </c>
      <c r="C56" t="str">
        <f t="shared" si="3"/>
        <v>COMPLETA</v>
      </c>
      <c r="D56" t="str">
        <f t="shared" si="4"/>
        <v>PRECO_TEXTO</v>
      </c>
      <c r="E56" t="s">
        <v>128</v>
      </c>
      <c r="F56" t="s">
        <v>8</v>
      </c>
      <c r="G56" t="s">
        <v>37</v>
      </c>
      <c r="H56">
        <v>14</v>
      </c>
      <c r="I56" t="s">
        <v>35</v>
      </c>
      <c r="J56" t="s">
        <v>13</v>
      </c>
    </row>
    <row r="57" spans="1:10" x14ac:dyDescent="0.25">
      <c r="A57">
        <f t="shared" si="1"/>
        <v>55</v>
      </c>
      <c r="B57">
        <v>57</v>
      </c>
      <c r="C57" t="str">
        <f t="shared" si="3"/>
        <v>INCOMPLETA</v>
      </c>
      <c r="D57" t="str">
        <f t="shared" si="4"/>
        <v>PRECO_VAZIA</v>
      </c>
      <c r="E57" t="s">
        <v>78</v>
      </c>
      <c r="F57" t="s">
        <v>8</v>
      </c>
      <c r="G57" t="s">
        <v>19</v>
      </c>
      <c r="H57">
        <v>18</v>
      </c>
      <c r="J57" t="s">
        <v>49</v>
      </c>
    </row>
    <row r="58" spans="1:10" x14ac:dyDescent="0.25">
      <c r="A58">
        <f t="shared" si="1"/>
        <v>56</v>
      </c>
      <c r="B58">
        <v>58</v>
      </c>
      <c r="C58" t="str">
        <f t="shared" si="3"/>
        <v>COMPLETA</v>
      </c>
      <c r="D58" t="str">
        <f t="shared" si="4"/>
        <v>QUANTIDADE_NEGATIVA; PRECO_NEGATIVO</v>
      </c>
      <c r="E58" t="s">
        <v>79</v>
      </c>
      <c r="F58" t="s">
        <v>26</v>
      </c>
      <c r="G58" t="s">
        <v>23</v>
      </c>
      <c r="H58">
        <v>-3</v>
      </c>
      <c r="I58">
        <v>-10</v>
      </c>
      <c r="J58" t="s">
        <v>49</v>
      </c>
    </row>
    <row r="59" spans="1:10" x14ac:dyDescent="0.25">
      <c r="A59">
        <f t="shared" si="1"/>
        <v>57</v>
      </c>
      <c r="B59">
        <v>60</v>
      </c>
      <c r="C59" t="str">
        <f t="shared" si="3"/>
        <v>INCOMPLETA</v>
      </c>
      <c r="D59" t="str">
        <f t="shared" si="4"/>
        <v>PRECO_NEGATIVO; CIDADE_VAZIA</v>
      </c>
      <c r="E59" t="s">
        <v>56</v>
      </c>
      <c r="F59" t="s">
        <v>12</v>
      </c>
      <c r="G59" t="s">
        <v>9</v>
      </c>
      <c r="H59">
        <v>19</v>
      </c>
      <c r="I59">
        <v>-10</v>
      </c>
    </row>
    <row r="60" spans="1:10" x14ac:dyDescent="0.25">
      <c r="A60">
        <f t="shared" si="1"/>
        <v>58</v>
      </c>
      <c r="B60">
        <v>60</v>
      </c>
      <c r="C60" t="str">
        <f t="shared" si="3"/>
        <v>INCOMPLETA</v>
      </c>
      <c r="D60" t="str">
        <f t="shared" si="4"/>
        <v>QUANTIDADE_VAZIA; PRECO_TEXTO; CLIENTE_VAZIA; PRODUTO_VAZIA</v>
      </c>
      <c r="E60" t="s">
        <v>72</v>
      </c>
      <c r="I60" t="s">
        <v>35</v>
      </c>
      <c r="J60" t="s">
        <v>49</v>
      </c>
    </row>
    <row r="61" spans="1:10" x14ac:dyDescent="0.25">
      <c r="A61">
        <f t="shared" si="1"/>
        <v>59</v>
      </c>
      <c r="B61">
        <v>61</v>
      </c>
      <c r="C61" t="str">
        <f t="shared" si="3"/>
        <v>COMPLETA</v>
      </c>
      <c r="D61" t="str">
        <f t="shared" si="4"/>
        <v>QUANTIDADE_NEGATIVA</v>
      </c>
      <c r="E61" t="s">
        <v>80</v>
      </c>
      <c r="F61" t="s">
        <v>8</v>
      </c>
      <c r="G61" t="s">
        <v>47</v>
      </c>
      <c r="H61">
        <v>-3</v>
      </c>
      <c r="I61">
        <v>460.58</v>
      </c>
      <c r="J61" t="s">
        <v>49</v>
      </c>
    </row>
    <row r="62" spans="1:10" x14ac:dyDescent="0.25">
      <c r="A62">
        <f t="shared" si="1"/>
        <v>60</v>
      </c>
      <c r="B62">
        <v>62</v>
      </c>
      <c r="C62" t="str">
        <f t="shared" si="3"/>
        <v>INCOMPLETA</v>
      </c>
      <c r="D62" t="str">
        <f t="shared" si="4"/>
        <v>QUANTIDADE_VAZIA; PRECO_VAZIA</v>
      </c>
      <c r="E62" t="s">
        <v>81</v>
      </c>
      <c r="F62" t="s">
        <v>12</v>
      </c>
      <c r="G62" t="s">
        <v>23</v>
      </c>
      <c r="J62" t="s">
        <v>21</v>
      </c>
    </row>
    <row r="63" spans="1:10" x14ac:dyDescent="0.25">
      <c r="A63">
        <f t="shared" si="1"/>
        <v>61</v>
      </c>
      <c r="B63">
        <v>63</v>
      </c>
      <c r="C63" t="str">
        <f t="shared" si="3"/>
        <v>COMPLETA</v>
      </c>
      <c r="D63" t="str">
        <f t="shared" si="4"/>
        <v>PRECO_NEGATIVO</v>
      </c>
      <c r="E63" t="s">
        <v>82</v>
      </c>
      <c r="F63" t="s">
        <v>26</v>
      </c>
      <c r="G63" t="s">
        <v>31</v>
      </c>
      <c r="H63">
        <v>10</v>
      </c>
      <c r="I63">
        <v>-10</v>
      </c>
      <c r="J63" t="s">
        <v>17</v>
      </c>
    </row>
    <row r="64" spans="1:10" x14ac:dyDescent="0.25">
      <c r="A64">
        <f t="shared" si="1"/>
        <v>62</v>
      </c>
      <c r="B64">
        <v>64</v>
      </c>
      <c r="C64" t="str">
        <f t="shared" si="3"/>
        <v>COMPLETA</v>
      </c>
      <c r="D64" t="str">
        <f t="shared" si="4"/>
        <v/>
      </c>
      <c r="E64" t="s">
        <v>72</v>
      </c>
      <c r="F64" t="s">
        <v>8</v>
      </c>
      <c r="G64" t="s">
        <v>23</v>
      </c>
      <c r="H64">
        <v>16</v>
      </c>
      <c r="I64">
        <v>377.02</v>
      </c>
      <c r="J64" t="s">
        <v>17</v>
      </c>
    </row>
    <row r="65" spans="1:10" x14ac:dyDescent="0.25">
      <c r="A65">
        <f t="shared" si="1"/>
        <v>63</v>
      </c>
      <c r="B65">
        <v>65</v>
      </c>
      <c r="C65" t="str">
        <f t="shared" si="3"/>
        <v>INCOMPLETA</v>
      </c>
      <c r="D65" t="str">
        <f t="shared" si="4"/>
        <v>QUANTIDADE_VAZIA; PRECO_VAZIA</v>
      </c>
      <c r="E65" t="s">
        <v>40</v>
      </c>
      <c r="F65" t="s">
        <v>12</v>
      </c>
      <c r="G65" t="s">
        <v>37</v>
      </c>
      <c r="J65" t="s">
        <v>13</v>
      </c>
    </row>
    <row r="66" spans="1:10" x14ac:dyDescent="0.25">
      <c r="A66">
        <f t="shared" si="1"/>
        <v>64</v>
      </c>
      <c r="B66">
        <v>66</v>
      </c>
      <c r="C66" t="str">
        <f t="shared" ref="C66:C97" si="5">IF(AND(B66&lt;&gt;"",E66&lt;&gt;"",F66&lt;&gt;"",G66&lt;&gt;"",H66&lt;&gt;"",I66&lt;&gt;"",J66&lt;&gt;""),"COMPLETA","INCOMPLETA")</f>
        <v>INCOMPLETA</v>
      </c>
      <c r="D66" t="str">
        <f t="shared" ref="D66:D97" si="6">_xlfn.TEXTJOIN("; ", TRUE,
  IF(H66="", "QUANTIDADE_VAZIA", ""),
  IF(AND(ISNUMBER(H66), H66&lt;0), "QUANTIDADE_NEGATIVA", ""),
  IF(I66="", "PRECO_VAZIA", ""),
  IF(AND(ISNUMBER(I66), I66&lt;0), "PRECO_NEGATIVO", ""),
  IF(AND(I66&lt;&gt;"", NOT(ISNUMBER(I66))), "PRECO_TEXTO", ""),
  IF(F66="", "CLIENTE_VAZIA", ""),
  IF(G66="", "PRODUTO_VAZIA", ""),
  IF(J66="", "CIDADE_VAZIA", ""),
  IF(E66="", "DATA_VAZIA", "")
)</f>
        <v>PRECO_VAZIA</v>
      </c>
      <c r="E66" t="s">
        <v>83</v>
      </c>
      <c r="F66" t="s">
        <v>12</v>
      </c>
      <c r="G66" t="s">
        <v>9</v>
      </c>
      <c r="H66">
        <v>10</v>
      </c>
      <c r="J66" t="s">
        <v>10</v>
      </c>
    </row>
    <row r="67" spans="1:10" x14ac:dyDescent="0.25">
      <c r="A67">
        <f t="shared" ref="A67:A130" si="7">ROW() -2</f>
        <v>65</v>
      </c>
      <c r="B67">
        <v>67</v>
      </c>
      <c r="C67" t="str">
        <f t="shared" si="5"/>
        <v>COMPLETA</v>
      </c>
      <c r="D67" t="str">
        <f t="shared" si="6"/>
        <v>PRECO_TEXTO</v>
      </c>
      <c r="E67" t="s">
        <v>84</v>
      </c>
      <c r="F67" t="s">
        <v>12</v>
      </c>
      <c r="G67" t="s">
        <v>15</v>
      </c>
      <c r="H67">
        <v>10</v>
      </c>
      <c r="I67" t="s">
        <v>35</v>
      </c>
      <c r="J67" t="s">
        <v>10</v>
      </c>
    </row>
    <row r="68" spans="1:10" x14ac:dyDescent="0.25">
      <c r="A68">
        <f t="shared" si="7"/>
        <v>66</v>
      </c>
      <c r="B68">
        <v>68</v>
      </c>
      <c r="C68" t="str">
        <f t="shared" si="5"/>
        <v>INCOMPLETA</v>
      </c>
      <c r="D68" t="str">
        <f t="shared" si="6"/>
        <v>QUANTIDADE_VAZIA; PRECO_TEXTO; CIDADE_VAZIA</v>
      </c>
      <c r="E68" t="s">
        <v>20</v>
      </c>
      <c r="F68" t="s">
        <v>33</v>
      </c>
      <c r="G68" t="s">
        <v>9</v>
      </c>
      <c r="I68" t="s">
        <v>35</v>
      </c>
    </row>
    <row r="69" spans="1:10" x14ac:dyDescent="0.25">
      <c r="A69">
        <f t="shared" si="7"/>
        <v>67</v>
      </c>
      <c r="B69">
        <v>69</v>
      </c>
      <c r="C69" t="str">
        <f t="shared" si="5"/>
        <v>INCOMPLETA</v>
      </c>
      <c r="D69" t="str">
        <f t="shared" si="6"/>
        <v>QUANTIDADE_NEGATIVA; CLIENTE_VAZIA</v>
      </c>
      <c r="E69" t="s">
        <v>85</v>
      </c>
      <c r="G69" t="s">
        <v>37</v>
      </c>
      <c r="H69">
        <v>-3</v>
      </c>
      <c r="I69">
        <v>334.15</v>
      </c>
      <c r="J69" t="s">
        <v>10</v>
      </c>
    </row>
    <row r="70" spans="1:10" x14ac:dyDescent="0.25">
      <c r="A70">
        <f t="shared" si="7"/>
        <v>68</v>
      </c>
      <c r="B70">
        <v>70</v>
      </c>
      <c r="C70" t="str">
        <f t="shared" si="5"/>
        <v>INCOMPLETA</v>
      </c>
      <c r="D70" t="str">
        <f t="shared" si="6"/>
        <v>QUANTIDADE_NEGATIVA; PRECO_NEGATIVO; CIDADE_VAZIA</v>
      </c>
      <c r="E70" t="s">
        <v>86</v>
      </c>
      <c r="F70" t="s">
        <v>33</v>
      </c>
      <c r="G70" t="s">
        <v>31</v>
      </c>
      <c r="H70">
        <v>-3</v>
      </c>
      <c r="I70">
        <v>-10</v>
      </c>
    </row>
    <row r="71" spans="1:10" x14ac:dyDescent="0.25">
      <c r="A71">
        <f t="shared" si="7"/>
        <v>69</v>
      </c>
      <c r="B71">
        <v>71</v>
      </c>
      <c r="C71" t="str">
        <f t="shared" si="5"/>
        <v>INCOMPLETA</v>
      </c>
      <c r="D71" t="str">
        <f t="shared" si="6"/>
        <v>QUANTIDADE_NEGATIVA; PRECO_TEXTO; CLIENTE_VAZIA</v>
      </c>
      <c r="E71" t="s">
        <v>87</v>
      </c>
      <c r="G71" t="s">
        <v>53</v>
      </c>
      <c r="H71">
        <v>-3</v>
      </c>
      <c r="I71" t="s">
        <v>35</v>
      </c>
      <c r="J71" t="s">
        <v>17</v>
      </c>
    </row>
    <row r="72" spans="1:10" x14ac:dyDescent="0.25">
      <c r="A72">
        <f t="shared" si="7"/>
        <v>70</v>
      </c>
      <c r="B72">
        <v>72</v>
      </c>
      <c r="C72" t="str">
        <f t="shared" si="5"/>
        <v>COMPLETA</v>
      </c>
      <c r="D72" t="str">
        <f t="shared" si="6"/>
        <v>QUANTIDADE_NEGATIVA; PRECO_NEGATIVO</v>
      </c>
      <c r="E72" t="s">
        <v>88</v>
      </c>
      <c r="F72" t="s">
        <v>8</v>
      </c>
      <c r="G72" t="s">
        <v>31</v>
      </c>
      <c r="H72">
        <v>-3</v>
      </c>
      <c r="I72">
        <v>-10</v>
      </c>
      <c r="J72" t="s">
        <v>17</v>
      </c>
    </row>
    <row r="73" spans="1:10" x14ac:dyDescent="0.25">
      <c r="A73">
        <f t="shared" si="7"/>
        <v>71</v>
      </c>
      <c r="B73">
        <v>75</v>
      </c>
      <c r="C73" t="str">
        <f t="shared" si="5"/>
        <v>INCOMPLETA</v>
      </c>
      <c r="D73" t="str">
        <f t="shared" si="6"/>
        <v>QUANTIDADE_VAZIA; PRECO_TEXTO</v>
      </c>
      <c r="E73" t="s">
        <v>91</v>
      </c>
      <c r="F73" t="s">
        <v>8</v>
      </c>
      <c r="G73" t="s">
        <v>9</v>
      </c>
      <c r="I73" t="s">
        <v>35</v>
      </c>
      <c r="J73" t="s">
        <v>49</v>
      </c>
    </row>
    <row r="74" spans="1:10" x14ac:dyDescent="0.25">
      <c r="A74">
        <f t="shared" si="7"/>
        <v>72</v>
      </c>
      <c r="B74">
        <v>76</v>
      </c>
      <c r="C74" t="str">
        <f t="shared" si="5"/>
        <v>INCOMPLETA</v>
      </c>
      <c r="D74" t="str">
        <f t="shared" si="6"/>
        <v>PRECO_TEXTO; PRODUTO_VAZIA</v>
      </c>
      <c r="E74" t="s">
        <v>92</v>
      </c>
      <c r="F74" t="s">
        <v>33</v>
      </c>
      <c r="H74">
        <v>10</v>
      </c>
      <c r="I74" t="s">
        <v>35</v>
      </c>
      <c r="J74" t="s">
        <v>17</v>
      </c>
    </row>
    <row r="75" spans="1:10" x14ac:dyDescent="0.25">
      <c r="A75">
        <f t="shared" si="7"/>
        <v>73</v>
      </c>
      <c r="B75">
        <v>77</v>
      </c>
      <c r="C75" t="str">
        <f t="shared" si="5"/>
        <v>INCOMPLETA</v>
      </c>
      <c r="D75" t="str">
        <f t="shared" si="6"/>
        <v>QUANTIDADE_VAZIA; PRECO_NEGATIVO</v>
      </c>
      <c r="E75" t="s">
        <v>85</v>
      </c>
      <c r="F75" t="s">
        <v>26</v>
      </c>
      <c r="G75" t="s">
        <v>19</v>
      </c>
      <c r="I75">
        <v>-10</v>
      </c>
      <c r="J75" t="s">
        <v>17</v>
      </c>
    </row>
    <row r="76" spans="1:10" x14ac:dyDescent="0.25">
      <c r="A76">
        <f t="shared" si="7"/>
        <v>74</v>
      </c>
      <c r="B76">
        <v>78</v>
      </c>
      <c r="C76" t="str">
        <f t="shared" si="5"/>
        <v>INCOMPLETA</v>
      </c>
      <c r="D76" t="str">
        <f t="shared" si="6"/>
        <v>QUANTIDADE_VAZIA; PRECO_TEXTO; CLIENTE_VAZIA</v>
      </c>
      <c r="E76" t="s">
        <v>93</v>
      </c>
      <c r="G76" t="s">
        <v>53</v>
      </c>
      <c r="I76" t="s">
        <v>35</v>
      </c>
      <c r="J76" t="s">
        <v>13</v>
      </c>
    </row>
    <row r="77" spans="1:10" x14ac:dyDescent="0.25">
      <c r="A77">
        <f t="shared" si="7"/>
        <v>75</v>
      </c>
      <c r="B77">
        <v>79</v>
      </c>
      <c r="C77" t="str">
        <f t="shared" si="5"/>
        <v>INCOMPLETA</v>
      </c>
      <c r="D77" t="str">
        <f t="shared" si="6"/>
        <v>PRECO_TEXTO; CLIENTE_VAZIA; CIDADE_VAZIA</v>
      </c>
      <c r="E77" t="s">
        <v>94</v>
      </c>
      <c r="G77" t="s">
        <v>15</v>
      </c>
      <c r="H77">
        <v>9</v>
      </c>
      <c r="I77" t="s">
        <v>35</v>
      </c>
    </row>
    <row r="78" spans="1:10" x14ac:dyDescent="0.25">
      <c r="A78">
        <f t="shared" si="7"/>
        <v>76</v>
      </c>
      <c r="B78">
        <v>80</v>
      </c>
      <c r="C78" t="str">
        <f t="shared" si="5"/>
        <v>COMPLETA</v>
      </c>
      <c r="D78" t="str">
        <f t="shared" si="6"/>
        <v>PRECO_NEGATIVO</v>
      </c>
      <c r="E78" t="s">
        <v>38</v>
      </c>
      <c r="F78" t="s">
        <v>33</v>
      </c>
      <c r="G78" t="s">
        <v>23</v>
      </c>
      <c r="H78">
        <v>10</v>
      </c>
      <c r="I78">
        <v>-10</v>
      </c>
      <c r="J78" t="s">
        <v>17</v>
      </c>
    </row>
    <row r="79" spans="1:10" x14ac:dyDescent="0.25">
      <c r="A79">
        <f t="shared" si="7"/>
        <v>77</v>
      </c>
      <c r="B79">
        <v>81</v>
      </c>
      <c r="C79" t="str">
        <f t="shared" si="5"/>
        <v>COMPLETA</v>
      </c>
      <c r="D79" t="str">
        <f t="shared" si="6"/>
        <v/>
      </c>
      <c r="E79" t="s">
        <v>95</v>
      </c>
      <c r="F79" t="s">
        <v>8</v>
      </c>
      <c r="G79" t="s">
        <v>31</v>
      </c>
      <c r="H79">
        <v>4</v>
      </c>
      <c r="I79">
        <v>206.35</v>
      </c>
      <c r="J79" t="s">
        <v>10</v>
      </c>
    </row>
    <row r="80" spans="1:10" x14ac:dyDescent="0.25">
      <c r="A80">
        <f t="shared" si="7"/>
        <v>78</v>
      </c>
      <c r="B80">
        <v>82</v>
      </c>
      <c r="C80" t="str">
        <f t="shared" si="5"/>
        <v>INCOMPLETA</v>
      </c>
      <c r="D80" t="str">
        <f t="shared" si="6"/>
        <v>PRECO_VAZIA</v>
      </c>
      <c r="E80" t="s">
        <v>95</v>
      </c>
      <c r="F80" t="s">
        <v>26</v>
      </c>
      <c r="G80" t="s">
        <v>15</v>
      </c>
      <c r="H80">
        <v>10</v>
      </c>
      <c r="J80" t="s">
        <v>21</v>
      </c>
    </row>
    <row r="81" spans="1:10" x14ac:dyDescent="0.25">
      <c r="A81">
        <f t="shared" si="7"/>
        <v>79</v>
      </c>
      <c r="B81">
        <v>83</v>
      </c>
      <c r="C81" t="str">
        <f t="shared" si="5"/>
        <v>COMPLETA</v>
      </c>
      <c r="D81" t="str">
        <f t="shared" si="6"/>
        <v>PRECO_TEXTO</v>
      </c>
      <c r="E81" t="s">
        <v>89</v>
      </c>
      <c r="F81" t="s">
        <v>33</v>
      </c>
      <c r="G81" t="s">
        <v>9</v>
      </c>
      <c r="H81">
        <v>10</v>
      </c>
      <c r="I81" t="s">
        <v>35</v>
      </c>
      <c r="J81" t="s">
        <v>10</v>
      </c>
    </row>
    <row r="82" spans="1:10" x14ac:dyDescent="0.25">
      <c r="A82">
        <f t="shared" si="7"/>
        <v>80</v>
      </c>
      <c r="B82">
        <v>83</v>
      </c>
      <c r="C82" t="str">
        <f t="shared" si="5"/>
        <v>INCOMPLETA</v>
      </c>
      <c r="D82" t="str">
        <f t="shared" si="6"/>
        <v>QUANTIDADE_NEGATIVA; PRECO_NEGATIVO; CLIENTE_VAZIA</v>
      </c>
      <c r="E82" t="s">
        <v>96</v>
      </c>
      <c r="G82" t="s">
        <v>9</v>
      </c>
      <c r="H82">
        <v>-3</v>
      </c>
      <c r="I82">
        <v>-10</v>
      </c>
      <c r="J82" t="s">
        <v>17</v>
      </c>
    </row>
    <row r="83" spans="1:10" x14ac:dyDescent="0.25">
      <c r="A83">
        <f t="shared" si="7"/>
        <v>81</v>
      </c>
      <c r="B83">
        <v>84</v>
      </c>
      <c r="C83" t="str">
        <f t="shared" si="5"/>
        <v>INCOMPLETA</v>
      </c>
      <c r="D83" t="str">
        <f t="shared" si="6"/>
        <v>PRECO_VAZIA; CIDADE_VAZIA</v>
      </c>
      <c r="E83" t="s">
        <v>97</v>
      </c>
      <c r="F83" t="s">
        <v>8</v>
      </c>
      <c r="G83" t="s">
        <v>37</v>
      </c>
      <c r="H83">
        <v>20</v>
      </c>
    </row>
    <row r="84" spans="1:10" x14ac:dyDescent="0.25">
      <c r="A84">
        <f t="shared" si="7"/>
        <v>82</v>
      </c>
      <c r="B84">
        <v>85</v>
      </c>
      <c r="C84" t="str">
        <f t="shared" si="5"/>
        <v>COMPLETA</v>
      </c>
      <c r="D84" t="str">
        <f t="shared" si="6"/>
        <v>QUANTIDADE_NEGATIVA; PRECO_NEGATIVO</v>
      </c>
      <c r="E84" t="s">
        <v>22</v>
      </c>
      <c r="F84" t="s">
        <v>26</v>
      </c>
      <c r="G84" t="s">
        <v>53</v>
      </c>
      <c r="H84">
        <v>-3</v>
      </c>
      <c r="I84">
        <v>-10</v>
      </c>
      <c r="J84" t="s">
        <v>10</v>
      </c>
    </row>
    <row r="85" spans="1:10" x14ac:dyDescent="0.25">
      <c r="A85">
        <f t="shared" si="7"/>
        <v>83</v>
      </c>
      <c r="B85">
        <v>85</v>
      </c>
      <c r="C85" t="str">
        <f t="shared" si="5"/>
        <v>INCOMPLETA</v>
      </c>
      <c r="D85" t="str">
        <f t="shared" si="6"/>
        <v>QUANTIDADE_VAZIA; PRECO_VAZIA</v>
      </c>
      <c r="E85" t="s">
        <v>81</v>
      </c>
      <c r="F85" t="s">
        <v>12</v>
      </c>
      <c r="G85" t="s">
        <v>15</v>
      </c>
      <c r="J85" t="s">
        <v>21</v>
      </c>
    </row>
    <row r="86" spans="1:10" x14ac:dyDescent="0.25">
      <c r="A86">
        <f t="shared" si="7"/>
        <v>84</v>
      </c>
      <c r="B86">
        <v>86</v>
      </c>
      <c r="C86" t="str">
        <f t="shared" si="5"/>
        <v>INCOMPLETA</v>
      </c>
      <c r="D86" t="str">
        <f t="shared" si="6"/>
        <v>PRECO_TEXTO; CLIENTE_VAZIA; CIDADE_VAZIA</v>
      </c>
      <c r="E86" t="s">
        <v>63</v>
      </c>
      <c r="G86" t="s">
        <v>31</v>
      </c>
      <c r="H86">
        <v>10</v>
      </c>
      <c r="I86" t="s">
        <v>35</v>
      </c>
    </row>
    <row r="87" spans="1:10" x14ac:dyDescent="0.25">
      <c r="A87">
        <f t="shared" si="7"/>
        <v>85</v>
      </c>
      <c r="B87">
        <v>87</v>
      </c>
      <c r="C87" t="str">
        <f t="shared" si="5"/>
        <v>INCOMPLETA</v>
      </c>
      <c r="D87" t="str">
        <f t="shared" si="6"/>
        <v>QUANTIDADE_VAZIA; PRECO_VAZIA; CIDADE_VAZIA</v>
      </c>
      <c r="E87" t="s">
        <v>98</v>
      </c>
      <c r="F87" t="s">
        <v>26</v>
      </c>
      <c r="G87" t="s">
        <v>53</v>
      </c>
    </row>
    <row r="88" spans="1:10" x14ac:dyDescent="0.25">
      <c r="A88">
        <f t="shared" si="7"/>
        <v>86</v>
      </c>
      <c r="B88">
        <v>88</v>
      </c>
      <c r="C88" t="str">
        <f t="shared" si="5"/>
        <v>INCOMPLETA</v>
      </c>
      <c r="D88" t="str">
        <f t="shared" si="6"/>
        <v>QUANTIDADE_VAZIA; PRECO_TEXTO</v>
      </c>
      <c r="E88" t="s">
        <v>99</v>
      </c>
      <c r="F88" t="s">
        <v>26</v>
      </c>
      <c r="G88" t="s">
        <v>23</v>
      </c>
      <c r="I88" t="s">
        <v>35</v>
      </c>
      <c r="J88" t="s">
        <v>49</v>
      </c>
    </row>
    <row r="89" spans="1:10" x14ac:dyDescent="0.25">
      <c r="A89">
        <f t="shared" si="7"/>
        <v>87</v>
      </c>
      <c r="B89">
        <v>89</v>
      </c>
      <c r="C89" t="str">
        <f t="shared" si="5"/>
        <v>COMPLETA</v>
      </c>
      <c r="D89" t="str">
        <f t="shared" si="6"/>
        <v>QUANTIDADE_NEGATIVA</v>
      </c>
      <c r="E89" t="s">
        <v>63</v>
      </c>
      <c r="F89" t="s">
        <v>8</v>
      </c>
      <c r="G89" t="s">
        <v>47</v>
      </c>
      <c r="H89">
        <v>-3</v>
      </c>
      <c r="I89">
        <v>224.5</v>
      </c>
      <c r="J89" t="s">
        <v>49</v>
      </c>
    </row>
    <row r="90" spans="1:10" x14ac:dyDescent="0.25">
      <c r="A90">
        <f t="shared" si="7"/>
        <v>88</v>
      </c>
      <c r="B90">
        <v>90</v>
      </c>
      <c r="C90" t="str">
        <f t="shared" si="5"/>
        <v>INCOMPLETA</v>
      </c>
      <c r="D90" t="str">
        <f t="shared" si="6"/>
        <v>QUANTIDADE_VAZIA; CIDADE_VAZIA</v>
      </c>
      <c r="E90" t="s">
        <v>100</v>
      </c>
      <c r="F90" t="s">
        <v>8</v>
      </c>
      <c r="G90" t="s">
        <v>37</v>
      </c>
      <c r="I90">
        <v>481.34</v>
      </c>
    </row>
    <row r="91" spans="1:10" x14ac:dyDescent="0.25">
      <c r="A91">
        <f t="shared" si="7"/>
        <v>89</v>
      </c>
      <c r="B91">
        <v>91</v>
      </c>
      <c r="C91" t="str">
        <f t="shared" si="5"/>
        <v>INCOMPLETA</v>
      </c>
      <c r="D91" t="str">
        <f t="shared" si="6"/>
        <v>QUANTIDADE_NEGATIVA; PRECO_VAZIA</v>
      </c>
      <c r="E91" t="s">
        <v>101</v>
      </c>
      <c r="F91" t="s">
        <v>12</v>
      </c>
      <c r="G91" t="s">
        <v>15</v>
      </c>
      <c r="H91">
        <v>-3</v>
      </c>
      <c r="J91" t="s">
        <v>10</v>
      </c>
    </row>
    <row r="92" spans="1:10" x14ac:dyDescent="0.25">
      <c r="A92">
        <f t="shared" si="7"/>
        <v>90</v>
      </c>
      <c r="B92">
        <v>92</v>
      </c>
      <c r="C92" t="str">
        <f t="shared" si="5"/>
        <v>COMPLETA</v>
      </c>
      <c r="D92" t="str">
        <f t="shared" si="6"/>
        <v>QUANTIDADE_NEGATIVA</v>
      </c>
      <c r="E92" t="s">
        <v>102</v>
      </c>
      <c r="F92" t="s">
        <v>12</v>
      </c>
      <c r="G92" t="s">
        <v>31</v>
      </c>
      <c r="H92">
        <v>-3</v>
      </c>
      <c r="I92">
        <v>173.32</v>
      </c>
      <c r="J92" t="s">
        <v>13</v>
      </c>
    </row>
    <row r="93" spans="1:10" x14ac:dyDescent="0.25">
      <c r="A93">
        <f t="shared" si="7"/>
        <v>91</v>
      </c>
      <c r="B93">
        <v>93</v>
      </c>
      <c r="C93" t="str">
        <f t="shared" si="5"/>
        <v>COMPLETA</v>
      </c>
      <c r="D93" t="str">
        <f t="shared" si="6"/>
        <v>PRECO_TEXTO</v>
      </c>
      <c r="E93" t="s">
        <v>103</v>
      </c>
      <c r="F93" t="s">
        <v>33</v>
      </c>
      <c r="G93" t="s">
        <v>53</v>
      </c>
      <c r="H93">
        <v>13</v>
      </c>
      <c r="I93" t="s">
        <v>35</v>
      </c>
      <c r="J93" t="s">
        <v>17</v>
      </c>
    </row>
    <row r="94" spans="1:10" x14ac:dyDescent="0.25">
      <c r="A94">
        <f t="shared" si="7"/>
        <v>92</v>
      </c>
      <c r="B94">
        <v>94</v>
      </c>
      <c r="C94" t="str">
        <f t="shared" si="5"/>
        <v>INCOMPLETA</v>
      </c>
      <c r="D94" t="str">
        <f t="shared" si="6"/>
        <v>QUANTIDADE_NEGATIVA; PRECO_VAZIA; PRODUTO_VAZIA</v>
      </c>
      <c r="E94" t="s">
        <v>22</v>
      </c>
      <c r="F94" t="s">
        <v>33</v>
      </c>
      <c r="H94">
        <v>-3</v>
      </c>
      <c r="J94" t="s">
        <v>10</v>
      </c>
    </row>
    <row r="95" spans="1:10" x14ac:dyDescent="0.25">
      <c r="A95">
        <f t="shared" si="7"/>
        <v>93</v>
      </c>
      <c r="B95">
        <v>95</v>
      </c>
      <c r="C95" t="str">
        <f t="shared" si="5"/>
        <v>INCOMPLETA</v>
      </c>
      <c r="D95" t="str">
        <f t="shared" si="6"/>
        <v>QUANTIDADE_VAZIA; PRECO_VAZIA</v>
      </c>
      <c r="E95" t="s">
        <v>104</v>
      </c>
      <c r="F95" t="s">
        <v>33</v>
      </c>
      <c r="G95" t="s">
        <v>31</v>
      </c>
      <c r="J95" t="s">
        <v>17</v>
      </c>
    </row>
    <row r="96" spans="1:10" x14ac:dyDescent="0.25">
      <c r="A96">
        <f t="shared" si="7"/>
        <v>94</v>
      </c>
      <c r="B96">
        <v>96</v>
      </c>
      <c r="C96" t="str">
        <f t="shared" si="5"/>
        <v>INCOMPLETA</v>
      </c>
      <c r="D96" t="str">
        <f t="shared" si="6"/>
        <v>QUANTIDADE_VAZIA; PRECO_TEXTO</v>
      </c>
      <c r="E96" t="s">
        <v>105</v>
      </c>
      <c r="F96" t="s">
        <v>33</v>
      </c>
      <c r="G96" t="s">
        <v>23</v>
      </c>
      <c r="I96" t="s">
        <v>35</v>
      </c>
      <c r="J96" t="s">
        <v>10</v>
      </c>
    </row>
    <row r="97" spans="1:10" x14ac:dyDescent="0.25">
      <c r="A97">
        <f t="shared" si="7"/>
        <v>95</v>
      </c>
      <c r="B97">
        <v>98</v>
      </c>
      <c r="C97" t="str">
        <f t="shared" si="5"/>
        <v>INCOMPLETA</v>
      </c>
      <c r="D97" t="str">
        <f t="shared" si="6"/>
        <v>QUANTIDADE_NEGATIVA; PRECO_VAZIA; CLIENTE_VAZIA</v>
      </c>
      <c r="E97" t="s">
        <v>106</v>
      </c>
      <c r="G97" t="s">
        <v>53</v>
      </c>
      <c r="H97">
        <v>-3</v>
      </c>
      <c r="J97" t="s">
        <v>49</v>
      </c>
    </row>
    <row r="98" spans="1:10" x14ac:dyDescent="0.25">
      <c r="A98">
        <f t="shared" si="7"/>
        <v>96</v>
      </c>
      <c r="B98">
        <v>99</v>
      </c>
      <c r="C98" t="str">
        <f t="shared" ref="C98:C129" si="8">IF(AND(B98&lt;&gt;"",E98&lt;&gt;"",F98&lt;&gt;"",G98&lt;&gt;"",H98&lt;&gt;"",I98&lt;&gt;"",J98&lt;&gt;""),"COMPLETA","INCOMPLETA")</f>
        <v>INCOMPLETA</v>
      </c>
      <c r="D98" t="str">
        <f t="shared" ref="D98:D129" si="9">_xlfn.TEXTJOIN("; ", TRUE,
  IF(H98="", "QUANTIDADE_VAZIA", ""),
  IF(AND(ISNUMBER(H98), H98&lt;0), "QUANTIDADE_NEGATIVA", ""),
  IF(I98="", "PRECO_VAZIA", ""),
  IF(AND(ISNUMBER(I98), I98&lt;0), "PRECO_NEGATIVO", ""),
  IF(AND(I98&lt;&gt;"", NOT(ISNUMBER(I98))), "PRECO_TEXTO", ""),
  IF(F98="", "CLIENTE_VAZIA", ""),
  IF(G98="", "PRODUTO_VAZIA", ""),
  IF(J98="", "CIDADE_VAZIA", ""),
  IF(E98="", "DATA_VAZIA", "")
)</f>
        <v>PRECO_NEGATIVO; PRODUTO_VAZIA</v>
      </c>
      <c r="E98" t="s">
        <v>107</v>
      </c>
      <c r="F98" t="s">
        <v>26</v>
      </c>
      <c r="H98">
        <v>5</v>
      </c>
      <c r="I98">
        <v>-10</v>
      </c>
      <c r="J98" t="s">
        <v>17</v>
      </c>
    </row>
    <row r="99" spans="1:10" x14ac:dyDescent="0.25">
      <c r="A99">
        <f t="shared" si="7"/>
        <v>97</v>
      </c>
      <c r="B99">
        <v>100</v>
      </c>
      <c r="C99" t="str">
        <f t="shared" si="8"/>
        <v>COMPLETA</v>
      </c>
      <c r="D99" t="str">
        <f t="shared" si="9"/>
        <v>PRECO_NEGATIVO</v>
      </c>
      <c r="E99" t="s">
        <v>59</v>
      </c>
      <c r="F99" t="s">
        <v>8</v>
      </c>
      <c r="G99" t="s">
        <v>37</v>
      </c>
      <c r="H99">
        <v>10</v>
      </c>
      <c r="I99">
        <v>-10</v>
      </c>
      <c r="J99" t="s">
        <v>13</v>
      </c>
    </row>
    <row r="100" spans="1:10" x14ac:dyDescent="0.25">
      <c r="A100">
        <f t="shared" si="7"/>
        <v>98</v>
      </c>
      <c r="B100">
        <v>101</v>
      </c>
      <c r="C100" t="str">
        <f t="shared" si="8"/>
        <v>COMPLETA</v>
      </c>
      <c r="D100" t="str">
        <f t="shared" si="9"/>
        <v>QUANTIDADE_NEGATIVA; PRECO_TEXTO</v>
      </c>
      <c r="E100" t="s">
        <v>108</v>
      </c>
      <c r="F100" t="s">
        <v>8</v>
      </c>
      <c r="G100" t="s">
        <v>19</v>
      </c>
      <c r="H100">
        <v>-3</v>
      </c>
      <c r="I100" t="s">
        <v>35</v>
      </c>
      <c r="J100" t="s">
        <v>13</v>
      </c>
    </row>
    <row r="101" spans="1:10" x14ac:dyDescent="0.25">
      <c r="A101">
        <f t="shared" si="7"/>
        <v>99</v>
      </c>
      <c r="B101">
        <v>102</v>
      </c>
      <c r="C101" t="str">
        <f t="shared" si="8"/>
        <v>INCOMPLETA</v>
      </c>
      <c r="D101" t="str">
        <f t="shared" si="9"/>
        <v>QUANTIDADE_NEGATIVA; PRECO_NEGATIVO; CLIENTE_VAZIA; CIDADE_VAZIA</v>
      </c>
      <c r="E101" t="s">
        <v>109</v>
      </c>
      <c r="G101" t="s">
        <v>47</v>
      </c>
      <c r="H101">
        <v>-3</v>
      </c>
      <c r="I101">
        <v>-10</v>
      </c>
    </row>
    <row r="102" spans="1:10" x14ac:dyDescent="0.25">
      <c r="A102">
        <f t="shared" si="7"/>
        <v>100</v>
      </c>
      <c r="B102">
        <v>103</v>
      </c>
      <c r="C102" t="str">
        <f t="shared" si="8"/>
        <v>COMPLETA</v>
      </c>
      <c r="D102" t="str">
        <f t="shared" si="9"/>
        <v>PRECO_TEXTO</v>
      </c>
      <c r="E102" t="s">
        <v>18</v>
      </c>
      <c r="F102" t="s">
        <v>33</v>
      </c>
      <c r="G102" t="s">
        <v>15</v>
      </c>
      <c r="H102">
        <v>16</v>
      </c>
      <c r="I102" t="s">
        <v>35</v>
      </c>
      <c r="J102" t="s">
        <v>21</v>
      </c>
    </row>
    <row r="103" spans="1:10" x14ac:dyDescent="0.25">
      <c r="A103">
        <f t="shared" si="7"/>
        <v>101</v>
      </c>
      <c r="B103">
        <v>104</v>
      </c>
      <c r="C103" t="str">
        <f t="shared" si="8"/>
        <v>INCOMPLETA</v>
      </c>
      <c r="D103" t="str">
        <f t="shared" si="9"/>
        <v>PRECO_VAZIA</v>
      </c>
      <c r="E103" t="s">
        <v>91</v>
      </c>
      <c r="F103" t="s">
        <v>26</v>
      </c>
      <c r="G103" t="s">
        <v>23</v>
      </c>
      <c r="H103">
        <v>15</v>
      </c>
      <c r="J103" t="s">
        <v>49</v>
      </c>
    </row>
    <row r="104" spans="1:10" x14ac:dyDescent="0.25">
      <c r="A104">
        <f t="shared" si="7"/>
        <v>102</v>
      </c>
      <c r="B104">
        <v>104</v>
      </c>
      <c r="C104" t="str">
        <f t="shared" si="8"/>
        <v>INCOMPLETA</v>
      </c>
      <c r="D104" t="str">
        <f t="shared" si="9"/>
        <v>PRECO_NEGATIVO; PRODUTO_VAZIA; CIDADE_VAZIA</v>
      </c>
      <c r="E104" t="s">
        <v>42</v>
      </c>
      <c r="F104" t="s">
        <v>12</v>
      </c>
      <c r="H104">
        <v>15</v>
      </c>
      <c r="I104">
        <v>-10</v>
      </c>
    </row>
    <row r="105" spans="1:10" x14ac:dyDescent="0.25">
      <c r="A105">
        <f t="shared" si="7"/>
        <v>103</v>
      </c>
      <c r="B105">
        <v>105</v>
      </c>
      <c r="C105" t="str">
        <f t="shared" si="8"/>
        <v>INCOMPLETA</v>
      </c>
      <c r="D105" t="str">
        <f t="shared" si="9"/>
        <v>QUANTIDADE_NEGATIVA; PRECO_TEXTO; CIDADE_VAZIA</v>
      </c>
      <c r="E105" t="s">
        <v>110</v>
      </c>
      <c r="F105" t="s">
        <v>33</v>
      </c>
      <c r="G105" t="s">
        <v>53</v>
      </c>
      <c r="H105">
        <v>-3</v>
      </c>
      <c r="I105" t="s">
        <v>35</v>
      </c>
    </row>
    <row r="106" spans="1:10" x14ac:dyDescent="0.25">
      <c r="A106">
        <f t="shared" si="7"/>
        <v>104</v>
      </c>
      <c r="B106">
        <v>106</v>
      </c>
      <c r="C106" t="str">
        <f t="shared" si="8"/>
        <v>INCOMPLETA</v>
      </c>
      <c r="D106" t="str">
        <f t="shared" si="9"/>
        <v>PRECO_VAZIA; CIDADE_VAZIA</v>
      </c>
      <c r="E106" t="s">
        <v>18</v>
      </c>
      <c r="F106" t="s">
        <v>8</v>
      </c>
      <c r="G106" t="s">
        <v>31</v>
      </c>
      <c r="H106">
        <v>18</v>
      </c>
    </row>
    <row r="107" spans="1:10" x14ac:dyDescent="0.25">
      <c r="A107">
        <f t="shared" si="7"/>
        <v>105</v>
      </c>
      <c r="B107">
        <v>107</v>
      </c>
      <c r="C107" t="str">
        <f t="shared" si="8"/>
        <v>INCOMPLETA</v>
      </c>
      <c r="D107" t="str">
        <f t="shared" si="9"/>
        <v>QUANTIDADE_NEGATIVA; PRECO_TEXTO; CLIENTE_VAZIA</v>
      </c>
      <c r="E107" t="s">
        <v>80</v>
      </c>
      <c r="G107" t="s">
        <v>37</v>
      </c>
      <c r="H107">
        <v>-3</v>
      </c>
      <c r="I107" t="s">
        <v>35</v>
      </c>
      <c r="J107" t="s">
        <v>17</v>
      </c>
    </row>
    <row r="108" spans="1:10" x14ac:dyDescent="0.25">
      <c r="A108">
        <f t="shared" si="7"/>
        <v>106</v>
      </c>
      <c r="B108">
        <v>107</v>
      </c>
      <c r="C108" t="str">
        <f t="shared" si="8"/>
        <v>COMPLETA</v>
      </c>
      <c r="D108" t="str">
        <f t="shared" si="9"/>
        <v/>
      </c>
      <c r="E108" t="s">
        <v>111</v>
      </c>
      <c r="F108" t="s">
        <v>26</v>
      </c>
      <c r="G108" t="s">
        <v>23</v>
      </c>
      <c r="H108">
        <v>14</v>
      </c>
      <c r="I108">
        <v>382.58</v>
      </c>
      <c r="J108" t="s">
        <v>49</v>
      </c>
    </row>
    <row r="109" spans="1:10" x14ac:dyDescent="0.25">
      <c r="A109">
        <f t="shared" si="7"/>
        <v>107</v>
      </c>
      <c r="B109">
        <v>108</v>
      </c>
      <c r="C109" t="str">
        <f t="shared" si="8"/>
        <v>COMPLETA</v>
      </c>
      <c r="D109" t="str">
        <f t="shared" si="9"/>
        <v>PRECO_TEXTO</v>
      </c>
      <c r="E109" t="s">
        <v>58</v>
      </c>
      <c r="F109" t="s">
        <v>12</v>
      </c>
      <c r="G109" t="s">
        <v>37</v>
      </c>
      <c r="H109">
        <v>11</v>
      </c>
      <c r="I109" t="s">
        <v>35</v>
      </c>
      <c r="J109" t="s">
        <v>49</v>
      </c>
    </row>
    <row r="110" spans="1:10" x14ac:dyDescent="0.25">
      <c r="A110">
        <f t="shared" si="7"/>
        <v>108</v>
      </c>
      <c r="B110">
        <v>109</v>
      </c>
      <c r="C110" t="str">
        <f t="shared" si="8"/>
        <v>INCOMPLETA</v>
      </c>
      <c r="D110" t="str">
        <f t="shared" si="9"/>
        <v>QUANTIDADE_VAZIA; PRECO_NEGATIVO</v>
      </c>
      <c r="E110" t="s">
        <v>55</v>
      </c>
      <c r="F110" t="s">
        <v>33</v>
      </c>
      <c r="G110" t="s">
        <v>15</v>
      </c>
      <c r="I110">
        <v>-10</v>
      </c>
      <c r="J110" t="s">
        <v>10</v>
      </c>
    </row>
    <row r="111" spans="1:10" x14ac:dyDescent="0.25">
      <c r="A111">
        <f t="shared" si="7"/>
        <v>109</v>
      </c>
      <c r="B111">
        <v>110</v>
      </c>
      <c r="C111" t="str">
        <f t="shared" si="8"/>
        <v>COMPLETA</v>
      </c>
      <c r="D111" t="str">
        <f t="shared" si="9"/>
        <v/>
      </c>
      <c r="E111" t="s">
        <v>46</v>
      </c>
      <c r="F111" t="s">
        <v>33</v>
      </c>
      <c r="G111" t="s">
        <v>47</v>
      </c>
      <c r="H111">
        <v>15</v>
      </c>
      <c r="I111">
        <v>339.95</v>
      </c>
      <c r="J111" t="s">
        <v>21</v>
      </c>
    </row>
    <row r="112" spans="1:10" x14ac:dyDescent="0.25">
      <c r="A112">
        <f t="shared" si="7"/>
        <v>110</v>
      </c>
      <c r="B112">
        <v>110</v>
      </c>
      <c r="C112" t="str">
        <f t="shared" si="8"/>
        <v>INCOMPLETA</v>
      </c>
      <c r="D112" t="str">
        <f t="shared" si="9"/>
        <v>QUANTIDADE_NEGATIVA; PRECO_NEGATIVO; CLIENTE_VAZIA</v>
      </c>
      <c r="E112" t="s">
        <v>112</v>
      </c>
      <c r="G112" t="s">
        <v>15</v>
      </c>
      <c r="H112">
        <v>-3</v>
      </c>
      <c r="I112">
        <v>-10</v>
      </c>
      <c r="J112" t="s">
        <v>17</v>
      </c>
    </row>
    <row r="113" spans="1:10" x14ac:dyDescent="0.25">
      <c r="A113">
        <f t="shared" si="7"/>
        <v>111</v>
      </c>
      <c r="B113">
        <v>111</v>
      </c>
      <c r="C113" t="str">
        <f t="shared" si="8"/>
        <v>INCOMPLETA</v>
      </c>
      <c r="D113" t="str">
        <f t="shared" si="9"/>
        <v>PRECO_TEXTO; CLIENTE_VAZIA; PRODUTO_VAZIA</v>
      </c>
      <c r="E113" t="s">
        <v>52</v>
      </c>
      <c r="H113">
        <v>10</v>
      </c>
      <c r="I113" t="s">
        <v>35</v>
      </c>
      <c r="J113" t="s">
        <v>10</v>
      </c>
    </row>
    <row r="114" spans="1:10" x14ac:dyDescent="0.25">
      <c r="A114">
        <f t="shared" si="7"/>
        <v>112</v>
      </c>
      <c r="B114">
        <v>111</v>
      </c>
      <c r="C114" t="str">
        <f t="shared" si="8"/>
        <v>INCOMPLETA</v>
      </c>
      <c r="D114" t="str">
        <f t="shared" si="9"/>
        <v>PRECO_TEXTO; PRODUTO_VAZIA</v>
      </c>
      <c r="E114" t="s">
        <v>113</v>
      </c>
      <c r="F114" t="s">
        <v>8</v>
      </c>
      <c r="H114">
        <v>6</v>
      </c>
      <c r="I114" t="s">
        <v>35</v>
      </c>
      <c r="J114" t="s">
        <v>10</v>
      </c>
    </row>
    <row r="115" spans="1:10" x14ac:dyDescent="0.25">
      <c r="A115">
        <f t="shared" si="7"/>
        <v>113</v>
      </c>
      <c r="B115">
        <v>112</v>
      </c>
      <c r="C115" t="str">
        <f t="shared" si="8"/>
        <v>INCOMPLETA</v>
      </c>
      <c r="D115" t="str">
        <f t="shared" si="9"/>
        <v>QUANTIDADE_VAZIA; PRECO_NEGATIVO</v>
      </c>
      <c r="E115" t="s">
        <v>114</v>
      </c>
      <c r="F115" t="s">
        <v>8</v>
      </c>
      <c r="G115" t="s">
        <v>31</v>
      </c>
      <c r="I115">
        <v>-10</v>
      </c>
      <c r="J115" t="s">
        <v>21</v>
      </c>
    </row>
    <row r="116" spans="1:10" x14ac:dyDescent="0.25">
      <c r="A116">
        <f t="shared" si="7"/>
        <v>114</v>
      </c>
      <c r="B116">
        <v>113</v>
      </c>
      <c r="C116" t="str">
        <f t="shared" si="8"/>
        <v>COMPLETA</v>
      </c>
      <c r="D116" t="str">
        <f t="shared" si="9"/>
        <v>PRECO_NEGATIVO</v>
      </c>
      <c r="E116" t="s">
        <v>45</v>
      </c>
      <c r="F116" t="s">
        <v>8</v>
      </c>
      <c r="G116" t="s">
        <v>53</v>
      </c>
      <c r="H116">
        <v>10</v>
      </c>
      <c r="I116">
        <v>-10</v>
      </c>
      <c r="J116" t="s">
        <v>17</v>
      </c>
    </row>
    <row r="117" spans="1:10" x14ac:dyDescent="0.25">
      <c r="A117">
        <f t="shared" si="7"/>
        <v>115</v>
      </c>
      <c r="B117">
        <v>113</v>
      </c>
      <c r="C117" t="str">
        <f t="shared" si="8"/>
        <v>INCOMPLETA</v>
      </c>
      <c r="D117" t="str">
        <f t="shared" si="9"/>
        <v>QUANTIDADE_NEGATIVA; PRECO_VAZIA</v>
      </c>
      <c r="E117" t="s">
        <v>81</v>
      </c>
      <c r="F117" t="s">
        <v>33</v>
      </c>
      <c r="G117" t="s">
        <v>31</v>
      </c>
      <c r="H117">
        <v>-3</v>
      </c>
      <c r="J117" t="s">
        <v>10</v>
      </c>
    </row>
    <row r="118" spans="1:10" x14ac:dyDescent="0.25">
      <c r="A118">
        <f t="shared" si="7"/>
        <v>116</v>
      </c>
      <c r="B118">
        <v>115</v>
      </c>
      <c r="C118" t="str">
        <f t="shared" si="8"/>
        <v>COMPLETA</v>
      </c>
      <c r="D118" t="str">
        <f t="shared" si="9"/>
        <v>PRECO_NEGATIVO</v>
      </c>
      <c r="E118" t="s">
        <v>116</v>
      </c>
      <c r="F118" t="s">
        <v>8</v>
      </c>
      <c r="G118" t="s">
        <v>15</v>
      </c>
      <c r="H118">
        <v>4</v>
      </c>
      <c r="I118">
        <v>-10</v>
      </c>
      <c r="J118" t="s">
        <v>21</v>
      </c>
    </row>
    <row r="119" spans="1:10" x14ac:dyDescent="0.25">
      <c r="A119">
        <f t="shared" si="7"/>
        <v>117</v>
      </c>
      <c r="B119">
        <v>116</v>
      </c>
      <c r="C119" t="str">
        <f t="shared" si="8"/>
        <v>INCOMPLETA</v>
      </c>
      <c r="D119" t="str">
        <f t="shared" si="9"/>
        <v>PRECO_VAZIA</v>
      </c>
      <c r="E119" t="s">
        <v>117</v>
      </c>
      <c r="F119" t="s">
        <v>26</v>
      </c>
      <c r="G119" t="s">
        <v>23</v>
      </c>
      <c r="H119">
        <v>10</v>
      </c>
      <c r="J119" t="s">
        <v>13</v>
      </c>
    </row>
    <row r="120" spans="1:10" x14ac:dyDescent="0.25">
      <c r="A120">
        <f t="shared" si="7"/>
        <v>118</v>
      </c>
      <c r="B120">
        <v>117</v>
      </c>
      <c r="C120" t="str">
        <f t="shared" si="8"/>
        <v>INCOMPLETA</v>
      </c>
      <c r="D120" t="str">
        <f t="shared" si="9"/>
        <v>PRECO_TEXTO; PRODUTO_VAZIA</v>
      </c>
      <c r="E120" t="s">
        <v>118</v>
      </c>
      <c r="F120" t="s">
        <v>8</v>
      </c>
      <c r="H120">
        <v>10</v>
      </c>
      <c r="I120" t="s">
        <v>35</v>
      </c>
      <c r="J120" t="s">
        <v>49</v>
      </c>
    </row>
    <row r="121" spans="1:10" x14ac:dyDescent="0.25">
      <c r="A121">
        <f t="shared" si="7"/>
        <v>119</v>
      </c>
      <c r="B121">
        <v>118</v>
      </c>
      <c r="C121" t="str">
        <f t="shared" si="8"/>
        <v>INCOMPLETA</v>
      </c>
      <c r="D121" t="str">
        <f t="shared" si="9"/>
        <v>PRECO_VAZIA; CIDADE_VAZIA</v>
      </c>
      <c r="E121" t="s">
        <v>119</v>
      </c>
      <c r="F121" t="s">
        <v>8</v>
      </c>
      <c r="G121" t="s">
        <v>23</v>
      </c>
      <c r="H121">
        <v>15</v>
      </c>
    </row>
    <row r="122" spans="1:10" x14ac:dyDescent="0.25">
      <c r="A122">
        <f t="shared" si="7"/>
        <v>120</v>
      </c>
      <c r="B122">
        <v>119</v>
      </c>
      <c r="C122" t="str">
        <f t="shared" si="8"/>
        <v>INCOMPLETA</v>
      </c>
      <c r="D122" t="str">
        <f t="shared" si="9"/>
        <v>QUANTIDADE_NEGATIVA; CLIENTE_VAZIA</v>
      </c>
      <c r="E122" t="s">
        <v>120</v>
      </c>
      <c r="G122" t="s">
        <v>19</v>
      </c>
      <c r="H122">
        <v>-3</v>
      </c>
      <c r="I122">
        <v>16.82</v>
      </c>
      <c r="J122" t="s">
        <v>49</v>
      </c>
    </row>
    <row r="123" spans="1:10" x14ac:dyDescent="0.25">
      <c r="A123">
        <f t="shared" si="7"/>
        <v>121</v>
      </c>
      <c r="B123">
        <v>120</v>
      </c>
      <c r="C123" t="str">
        <f t="shared" si="8"/>
        <v>COMPLETA</v>
      </c>
      <c r="D123" t="str">
        <f t="shared" si="9"/>
        <v>PRECO_NEGATIVO</v>
      </c>
      <c r="E123" t="s">
        <v>84</v>
      </c>
      <c r="F123" t="s">
        <v>8</v>
      </c>
      <c r="G123" t="s">
        <v>47</v>
      </c>
      <c r="H123">
        <v>12</v>
      </c>
      <c r="I123">
        <v>-10</v>
      </c>
      <c r="J123" t="s">
        <v>21</v>
      </c>
    </row>
    <row r="124" spans="1:10" x14ac:dyDescent="0.25">
      <c r="A124">
        <f t="shared" si="7"/>
        <v>122</v>
      </c>
      <c r="B124">
        <v>121</v>
      </c>
      <c r="C124" t="str">
        <f t="shared" si="8"/>
        <v>INCOMPLETA</v>
      </c>
      <c r="D124" t="str">
        <f t="shared" si="9"/>
        <v>QUANTIDADE_NEGATIVA; PRECO_TEXTO; CIDADE_VAZIA</v>
      </c>
      <c r="E124" t="s">
        <v>121</v>
      </c>
      <c r="F124" t="s">
        <v>8</v>
      </c>
      <c r="G124" t="s">
        <v>9</v>
      </c>
      <c r="H124">
        <v>-3</v>
      </c>
      <c r="I124" t="s">
        <v>35</v>
      </c>
    </row>
    <row r="125" spans="1:10" x14ac:dyDescent="0.25">
      <c r="A125">
        <f t="shared" si="7"/>
        <v>123</v>
      </c>
      <c r="B125">
        <v>122</v>
      </c>
      <c r="C125" t="str">
        <f t="shared" si="8"/>
        <v>INCOMPLETA</v>
      </c>
      <c r="D125" t="str">
        <f t="shared" si="9"/>
        <v>QUANTIDADE_NEGATIVA; PRECO_VAZIA</v>
      </c>
      <c r="E125" t="s">
        <v>30</v>
      </c>
      <c r="F125" t="s">
        <v>12</v>
      </c>
      <c r="G125" t="s">
        <v>37</v>
      </c>
      <c r="H125">
        <v>-3</v>
      </c>
      <c r="J125" t="s">
        <v>10</v>
      </c>
    </row>
    <row r="126" spans="1:10" x14ac:dyDescent="0.25">
      <c r="A126">
        <f t="shared" si="7"/>
        <v>124</v>
      </c>
      <c r="B126">
        <v>123</v>
      </c>
      <c r="C126" t="str">
        <f t="shared" si="8"/>
        <v>INCOMPLETA</v>
      </c>
      <c r="D126" t="str">
        <f t="shared" si="9"/>
        <v>QUANTIDADE_VAZIA; PRODUTO_VAZIA</v>
      </c>
      <c r="E126" t="s">
        <v>122</v>
      </c>
      <c r="F126" t="s">
        <v>8</v>
      </c>
      <c r="I126">
        <v>443.85</v>
      </c>
      <c r="J126" t="s">
        <v>49</v>
      </c>
    </row>
    <row r="127" spans="1:10" x14ac:dyDescent="0.25">
      <c r="A127">
        <f t="shared" si="7"/>
        <v>125</v>
      </c>
      <c r="B127">
        <v>124</v>
      </c>
      <c r="C127" t="str">
        <f t="shared" si="8"/>
        <v>INCOMPLETA</v>
      </c>
      <c r="D127" t="str">
        <f t="shared" si="9"/>
        <v>QUANTIDADE_NEGATIVA; PRECO_VAZIA</v>
      </c>
      <c r="E127" t="s">
        <v>14</v>
      </c>
      <c r="F127" t="s">
        <v>12</v>
      </c>
      <c r="G127" t="s">
        <v>19</v>
      </c>
      <c r="H127">
        <v>-3</v>
      </c>
      <c r="J127" t="s">
        <v>17</v>
      </c>
    </row>
    <row r="128" spans="1:10" x14ac:dyDescent="0.25">
      <c r="A128">
        <f t="shared" si="7"/>
        <v>126</v>
      </c>
      <c r="B128">
        <v>127</v>
      </c>
      <c r="C128" t="str">
        <f t="shared" si="8"/>
        <v>INCOMPLETA</v>
      </c>
      <c r="D128" t="str">
        <f t="shared" si="9"/>
        <v>QUANTIDADE_VAZIA; PRECO_VAZIA; CLIENTE_VAZIA</v>
      </c>
      <c r="E128" t="s">
        <v>125</v>
      </c>
      <c r="G128" t="s">
        <v>9</v>
      </c>
      <c r="J128" t="s">
        <v>17</v>
      </c>
    </row>
    <row r="129" spans="1:10" x14ac:dyDescent="0.25">
      <c r="A129">
        <f t="shared" si="7"/>
        <v>127</v>
      </c>
      <c r="B129">
        <v>128</v>
      </c>
      <c r="C129" t="str">
        <f t="shared" si="8"/>
        <v>INCOMPLETA</v>
      </c>
      <c r="D129" t="str">
        <f t="shared" si="9"/>
        <v>QUANTIDADE_VAZIA; PRECO_VAZIA</v>
      </c>
      <c r="E129" t="s">
        <v>126</v>
      </c>
      <c r="F129" t="s">
        <v>12</v>
      </c>
      <c r="G129" t="s">
        <v>53</v>
      </c>
      <c r="J129" t="s">
        <v>21</v>
      </c>
    </row>
    <row r="130" spans="1:10" x14ac:dyDescent="0.25">
      <c r="A130">
        <f t="shared" si="7"/>
        <v>128</v>
      </c>
      <c r="B130">
        <v>129</v>
      </c>
      <c r="C130" t="str">
        <f t="shared" ref="C130:C161" si="10">IF(AND(B130&lt;&gt;"",E130&lt;&gt;"",F130&lt;&gt;"",G130&lt;&gt;"",H130&lt;&gt;"",I130&lt;&gt;"",J130&lt;&gt;""),"COMPLETA","INCOMPLETA")</f>
        <v>INCOMPLETA</v>
      </c>
      <c r="D130" t="str">
        <f t="shared" ref="D130:D161" si="11">_xlfn.TEXTJOIN("; ", TRUE,
  IF(H130="", "QUANTIDADE_VAZIA", ""),
  IF(AND(ISNUMBER(H130), H130&lt;0), "QUANTIDADE_NEGATIVA", ""),
  IF(I130="", "PRECO_VAZIA", ""),
  IF(AND(ISNUMBER(I130), I130&lt;0), "PRECO_NEGATIVO", ""),
  IF(AND(I130&lt;&gt;"", NOT(ISNUMBER(I130))), "PRECO_TEXTO", ""),
  IF(F130="", "CLIENTE_VAZIA", ""),
  IF(G130="", "PRODUTO_VAZIA", ""),
  IF(J130="", "CIDADE_VAZIA", ""),
  IF(E130="", "DATA_VAZIA", "")
)</f>
        <v>QUANTIDADE_VAZIA</v>
      </c>
      <c r="E130" t="s">
        <v>7</v>
      </c>
      <c r="F130" t="s">
        <v>26</v>
      </c>
      <c r="G130" t="s">
        <v>37</v>
      </c>
      <c r="I130">
        <v>298.54000000000002</v>
      </c>
      <c r="J130" t="s">
        <v>13</v>
      </c>
    </row>
    <row r="131" spans="1:10" x14ac:dyDescent="0.25">
      <c r="A131">
        <f t="shared" ref="A131:A194" si="12">ROW() -2</f>
        <v>129</v>
      </c>
      <c r="B131">
        <v>130</v>
      </c>
      <c r="C131" t="str">
        <f t="shared" si="10"/>
        <v>INCOMPLETA</v>
      </c>
      <c r="D131" t="str">
        <f t="shared" si="11"/>
        <v>PRECO_TEXTO; PRODUTO_VAZIA</v>
      </c>
      <c r="E131" t="s">
        <v>127</v>
      </c>
      <c r="F131" t="s">
        <v>33</v>
      </c>
      <c r="H131">
        <v>4</v>
      </c>
      <c r="I131" t="s">
        <v>35</v>
      </c>
      <c r="J131" t="s">
        <v>10</v>
      </c>
    </row>
    <row r="132" spans="1:10" x14ac:dyDescent="0.25">
      <c r="A132">
        <f t="shared" si="12"/>
        <v>130</v>
      </c>
      <c r="B132">
        <v>131</v>
      </c>
      <c r="C132" t="str">
        <f t="shared" si="10"/>
        <v>INCOMPLETA</v>
      </c>
      <c r="D132" t="str">
        <f t="shared" si="11"/>
        <v>PRECO_TEXTO; CLIENTE_VAZIA</v>
      </c>
      <c r="E132" t="s">
        <v>128</v>
      </c>
      <c r="G132" t="s">
        <v>9</v>
      </c>
      <c r="H132">
        <v>20</v>
      </c>
      <c r="I132" t="s">
        <v>35</v>
      </c>
      <c r="J132" t="s">
        <v>49</v>
      </c>
    </row>
    <row r="133" spans="1:10" x14ac:dyDescent="0.25">
      <c r="A133">
        <f t="shared" si="12"/>
        <v>131</v>
      </c>
      <c r="B133">
        <v>132</v>
      </c>
      <c r="C133" t="str">
        <f t="shared" si="10"/>
        <v>INCOMPLETA</v>
      </c>
      <c r="D133" t="str">
        <f t="shared" si="11"/>
        <v>QUANTIDADE_NEGATIVA; PRECO_NEGATIVO; CIDADE_VAZIA</v>
      </c>
      <c r="E133" t="s">
        <v>11</v>
      </c>
      <c r="F133" t="s">
        <v>12</v>
      </c>
      <c r="G133" t="s">
        <v>31</v>
      </c>
      <c r="H133">
        <v>-3</v>
      </c>
      <c r="I133">
        <v>-10</v>
      </c>
    </row>
    <row r="134" spans="1:10" x14ac:dyDescent="0.25">
      <c r="A134">
        <f t="shared" si="12"/>
        <v>132</v>
      </c>
      <c r="B134">
        <v>133</v>
      </c>
      <c r="C134" t="str">
        <f t="shared" si="10"/>
        <v>INCOMPLETA</v>
      </c>
      <c r="D134" t="str">
        <f t="shared" si="11"/>
        <v>QUANTIDADE_VAZIA; PRECO_TEXTO</v>
      </c>
      <c r="E134" t="s">
        <v>98</v>
      </c>
      <c r="F134" t="s">
        <v>12</v>
      </c>
      <c r="G134" t="s">
        <v>19</v>
      </c>
      <c r="I134" t="s">
        <v>35</v>
      </c>
      <c r="J134" t="s">
        <v>10</v>
      </c>
    </row>
    <row r="135" spans="1:10" x14ac:dyDescent="0.25">
      <c r="A135">
        <f t="shared" si="12"/>
        <v>133</v>
      </c>
      <c r="B135">
        <v>134</v>
      </c>
      <c r="C135" t="str">
        <f t="shared" si="10"/>
        <v>COMPLETA</v>
      </c>
      <c r="D135" t="str">
        <f t="shared" si="11"/>
        <v>PRECO_NEGATIVO</v>
      </c>
      <c r="E135" t="s">
        <v>129</v>
      </c>
      <c r="F135" t="s">
        <v>8</v>
      </c>
      <c r="G135" t="s">
        <v>47</v>
      </c>
      <c r="H135">
        <v>10</v>
      </c>
      <c r="I135">
        <v>-10</v>
      </c>
      <c r="J135" t="s">
        <v>21</v>
      </c>
    </row>
    <row r="136" spans="1:10" x14ac:dyDescent="0.25">
      <c r="A136">
        <f t="shared" si="12"/>
        <v>134</v>
      </c>
      <c r="B136">
        <v>135</v>
      </c>
      <c r="C136" t="str">
        <f t="shared" si="10"/>
        <v>INCOMPLETA</v>
      </c>
      <c r="D136" t="str">
        <f t="shared" si="11"/>
        <v>QUANTIDADE_NEGATIVA; PRECO_NEGATIVO; CLIENTE_VAZIA</v>
      </c>
      <c r="E136" t="s">
        <v>130</v>
      </c>
      <c r="G136" t="s">
        <v>9</v>
      </c>
      <c r="H136">
        <v>-3</v>
      </c>
      <c r="I136">
        <v>-10</v>
      </c>
      <c r="J136" t="s">
        <v>17</v>
      </c>
    </row>
    <row r="137" spans="1:10" x14ac:dyDescent="0.25">
      <c r="A137">
        <f t="shared" si="12"/>
        <v>135</v>
      </c>
      <c r="B137">
        <v>136</v>
      </c>
      <c r="C137" t="str">
        <f t="shared" si="10"/>
        <v>COMPLETA</v>
      </c>
      <c r="D137" t="str">
        <f t="shared" si="11"/>
        <v>QUANTIDADE_NEGATIVA; PRECO_TEXTO</v>
      </c>
      <c r="E137" t="s">
        <v>68</v>
      </c>
      <c r="F137" t="s">
        <v>33</v>
      </c>
      <c r="G137" t="s">
        <v>23</v>
      </c>
      <c r="H137">
        <v>-3</v>
      </c>
      <c r="I137" t="s">
        <v>35</v>
      </c>
      <c r="J137" t="s">
        <v>17</v>
      </c>
    </row>
    <row r="138" spans="1:10" x14ac:dyDescent="0.25">
      <c r="A138">
        <f t="shared" si="12"/>
        <v>136</v>
      </c>
      <c r="B138">
        <v>137</v>
      </c>
      <c r="C138" t="str">
        <f t="shared" si="10"/>
        <v>INCOMPLETA</v>
      </c>
      <c r="D138" t="str">
        <f t="shared" si="11"/>
        <v>CIDADE_VAZIA</v>
      </c>
      <c r="E138" t="s">
        <v>131</v>
      </c>
      <c r="F138" t="s">
        <v>33</v>
      </c>
      <c r="G138" t="s">
        <v>23</v>
      </c>
      <c r="H138">
        <v>3</v>
      </c>
      <c r="I138">
        <v>55.68</v>
      </c>
    </row>
    <row r="139" spans="1:10" x14ac:dyDescent="0.25">
      <c r="A139">
        <f t="shared" si="12"/>
        <v>137</v>
      </c>
      <c r="B139">
        <v>138</v>
      </c>
      <c r="C139" t="str">
        <f t="shared" si="10"/>
        <v>INCOMPLETA</v>
      </c>
      <c r="D139" t="str">
        <f t="shared" si="11"/>
        <v>PRECO_NEGATIVO; CLIENTE_VAZIA</v>
      </c>
      <c r="E139" t="s">
        <v>132</v>
      </c>
      <c r="G139" t="s">
        <v>37</v>
      </c>
      <c r="H139">
        <v>10</v>
      </c>
      <c r="I139">
        <v>-10</v>
      </c>
      <c r="J139" t="s">
        <v>17</v>
      </c>
    </row>
    <row r="140" spans="1:10" x14ac:dyDescent="0.25">
      <c r="A140">
        <f t="shared" si="12"/>
        <v>138</v>
      </c>
      <c r="B140">
        <v>139</v>
      </c>
      <c r="C140" t="str">
        <f t="shared" si="10"/>
        <v>INCOMPLETA</v>
      </c>
      <c r="D140" t="str">
        <f t="shared" si="11"/>
        <v>PRECO_VAZIA</v>
      </c>
      <c r="E140" t="s">
        <v>77</v>
      </c>
      <c r="F140" t="s">
        <v>33</v>
      </c>
      <c r="G140" t="s">
        <v>37</v>
      </c>
      <c r="H140">
        <v>10</v>
      </c>
      <c r="J140" t="s">
        <v>13</v>
      </c>
    </row>
    <row r="141" spans="1:10" x14ac:dyDescent="0.25">
      <c r="A141">
        <f t="shared" si="12"/>
        <v>139</v>
      </c>
      <c r="B141">
        <v>140</v>
      </c>
      <c r="C141" t="str">
        <f t="shared" si="10"/>
        <v>COMPLETA</v>
      </c>
      <c r="D141" t="str">
        <f t="shared" si="11"/>
        <v>PRECO_TEXTO</v>
      </c>
      <c r="E141" t="s">
        <v>133</v>
      </c>
      <c r="F141" t="s">
        <v>12</v>
      </c>
      <c r="G141" t="s">
        <v>19</v>
      </c>
      <c r="H141">
        <v>10</v>
      </c>
      <c r="I141" t="s">
        <v>35</v>
      </c>
      <c r="J141" t="s">
        <v>10</v>
      </c>
    </row>
    <row r="142" spans="1:10" x14ac:dyDescent="0.25">
      <c r="A142">
        <f t="shared" si="12"/>
        <v>140</v>
      </c>
      <c r="B142">
        <v>141</v>
      </c>
      <c r="C142" t="str">
        <f t="shared" si="10"/>
        <v>INCOMPLETA</v>
      </c>
      <c r="D142" t="str">
        <f t="shared" si="11"/>
        <v>PRECO_TEXTO; CLIENTE_VAZIA; PRODUTO_VAZIA; CIDADE_VAZIA</v>
      </c>
      <c r="E142" t="s">
        <v>97</v>
      </c>
      <c r="H142">
        <v>10</v>
      </c>
      <c r="I142" t="s">
        <v>35</v>
      </c>
    </row>
    <row r="143" spans="1:10" x14ac:dyDescent="0.25">
      <c r="A143">
        <f t="shared" si="12"/>
        <v>141</v>
      </c>
      <c r="B143">
        <v>142</v>
      </c>
      <c r="C143" t="str">
        <f t="shared" si="10"/>
        <v>INCOMPLETA</v>
      </c>
      <c r="D143" t="str">
        <f t="shared" si="11"/>
        <v>QUANTIDADE_VAZIA; PRECO_NEGATIVO</v>
      </c>
      <c r="E143" t="s">
        <v>48</v>
      </c>
      <c r="F143" t="s">
        <v>8</v>
      </c>
      <c r="G143" t="s">
        <v>37</v>
      </c>
      <c r="I143">
        <v>-10</v>
      </c>
      <c r="J143" t="s">
        <v>21</v>
      </c>
    </row>
    <row r="144" spans="1:10" x14ac:dyDescent="0.25">
      <c r="A144">
        <f t="shared" si="12"/>
        <v>142</v>
      </c>
      <c r="B144">
        <v>143</v>
      </c>
      <c r="C144" t="str">
        <f t="shared" si="10"/>
        <v>INCOMPLETA</v>
      </c>
      <c r="D144" t="str">
        <f t="shared" si="11"/>
        <v>QUANTIDADE_VAZIA; PRECO_NEGATIVO</v>
      </c>
      <c r="E144" t="s">
        <v>134</v>
      </c>
      <c r="F144" t="s">
        <v>12</v>
      </c>
      <c r="G144" t="s">
        <v>23</v>
      </c>
      <c r="I144">
        <v>-10</v>
      </c>
      <c r="J144" t="s">
        <v>17</v>
      </c>
    </row>
    <row r="145" spans="1:10" x14ac:dyDescent="0.25">
      <c r="A145">
        <f t="shared" si="12"/>
        <v>143</v>
      </c>
      <c r="B145">
        <v>144</v>
      </c>
      <c r="C145" t="str">
        <f t="shared" si="10"/>
        <v>INCOMPLETA</v>
      </c>
      <c r="D145" t="str">
        <f t="shared" si="11"/>
        <v>QUANTIDADE_VAZIA; CIDADE_VAZIA</v>
      </c>
      <c r="E145" t="s">
        <v>135</v>
      </c>
      <c r="F145" t="s">
        <v>8</v>
      </c>
      <c r="G145" t="s">
        <v>23</v>
      </c>
      <c r="I145">
        <v>87.13</v>
      </c>
    </row>
    <row r="146" spans="1:10" x14ac:dyDescent="0.25">
      <c r="A146">
        <f t="shared" si="12"/>
        <v>144</v>
      </c>
      <c r="B146">
        <v>146</v>
      </c>
      <c r="C146" t="str">
        <f t="shared" si="10"/>
        <v>COMPLETA</v>
      </c>
      <c r="D146" t="str">
        <f t="shared" si="11"/>
        <v>QUANTIDADE_NEGATIVA; PRECO_TEXTO</v>
      </c>
      <c r="E146" t="s">
        <v>73</v>
      </c>
      <c r="F146" t="s">
        <v>12</v>
      </c>
      <c r="G146" t="s">
        <v>53</v>
      </c>
      <c r="H146">
        <v>-3</v>
      </c>
      <c r="I146" t="s">
        <v>35</v>
      </c>
      <c r="J146" t="s">
        <v>21</v>
      </c>
    </row>
    <row r="147" spans="1:10" x14ac:dyDescent="0.25">
      <c r="A147">
        <f t="shared" si="12"/>
        <v>145</v>
      </c>
      <c r="B147">
        <v>147</v>
      </c>
      <c r="C147" t="str">
        <f t="shared" si="10"/>
        <v>INCOMPLETA</v>
      </c>
      <c r="D147" t="str">
        <f t="shared" si="11"/>
        <v>PRECO_VAZIA</v>
      </c>
      <c r="E147" t="s">
        <v>136</v>
      </c>
      <c r="F147" t="s">
        <v>12</v>
      </c>
      <c r="G147" t="s">
        <v>37</v>
      </c>
      <c r="H147">
        <v>10</v>
      </c>
      <c r="J147" t="s">
        <v>17</v>
      </c>
    </row>
    <row r="148" spans="1:10" x14ac:dyDescent="0.25">
      <c r="A148">
        <f t="shared" si="12"/>
        <v>146</v>
      </c>
      <c r="B148">
        <v>148</v>
      </c>
      <c r="C148" t="str">
        <f t="shared" si="10"/>
        <v>INCOMPLETA</v>
      </c>
      <c r="D148" t="str">
        <f t="shared" si="11"/>
        <v>QUANTIDADE_VAZIA; PRECO_VAZIA</v>
      </c>
      <c r="E148" t="s">
        <v>85</v>
      </c>
      <c r="F148" t="s">
        <v>12</v>
      </c>
      <c r="G148" t="s">
        <v>31</v>
      </c>
      <c r="J148" t="s">
        <v>10</v>
      </c>
    </row>
    <row r="149" spans="1:10" x14ac:dyDescent="0.25">
      <c r="A149">
        <f t="shared" si="12"/>
        <v>147</v>
      </c>
      <c r="B149">
        <v>149</v>
      </c>
      <c r="C149" t="str">
        <f t="shared" si="10"/>
        <v>COMPLETA</v>
      </c>
      <c r="D149" t="str">
        <f t="shared" si="11"/>
        <v>PRECO_NEGATIVO</v>
      </c>
      <c r="E149" t="s">
        <v>83</v>
      </c>
      <c r="F149" t="s">
        <v>8</v>
      </c>
      <c r="G149" t="s">
        <v>23</v>
      </c>
      <c r="H149">
        <v>13</v>
      </c>
      <c r="I149">
        <v>-10</v>
      </c>
      <c r="J149" t="s">
        <v>21</v>
      </c>
    </row>
    <row r="150" spans="1:10" x14ac:dyDescent="0.25">
      <c r="A150">
        <f t="shared" si="12"/>
        <v>148</v>
      </c>
      <c r="B150">
        <v>150</v>
      </c>
      <c r="C150" t="str">
        <f t="shared" si="10"/>
        <v>COMPLETA</v>
      </c>
      <c r="D150" t="str">
        <f t="shared" si="11"/>
        <v/>
      </c>
      <c r="E150" t="s">
        <v>101</v>
      </c>
      <c r="F150" t="s">
        <v>33</v>
      </c>
      <c r="G150" t="s">
        <v>47</v>
      </c>
      <c r="H150">
        <v>10</v>
      </c>
      <c r="I150">
        <v>66.430000000000007</v>
      </c>
      <c r="J150" t="s">
        <v>17</v>
      </c>
    </row>
    <row r="151" spans="1:10" x14ac:dyDescent="0.25">
      <c r="A151">
        <f t="shared" si="12"/>
        <v>149</v>
      </c>
      <c r="B151">
        <v>151</v>
      </c>
      <c r="C151" t="str">
        <f t="shared" si="10"/>
        <v>INCOMPLETA</v>
      </c>
      <c r="D151" t="str">
        <f t="shared" si="11"/>
        <v>QUANTIDADE_NEGATIVA; PRECO_VAZIA</v>
      </c>
      <c r="E151" t="s">
        <v>116</v>
      </c>
      <c r="F151" t="s">
        <v>33</v>
      </c>
      <c r="G151" t="s">
        <v>19</v>
      </c>
      <c r="H151">
        <v>-3</v>
      </c>
      <c r="J151" t="s">
        <v>49</v>
      </c>
    </row>
    <row r="152" spans="1:10" x14ac:dyDescent="0.25">
      <c r="A152">
        <f t="shared" si="12"/>
        <v>150</v>
      </c>
      <c r="B152">
        <v>152</v>
      </c>
      <c r="C152" t="str">
        <f t="shared" si="10"/>
        <v>INCOMPLETA</v>
      </c>
      <c r="D152" t="str">
        <f t="shared" si="11"/>
        <v>PRECO_VAZIA</v>
      </c>
      <c r="E152" t="s">
        <v>137</v>
      </c>
      <c r="F152" t="s">
        <v>12</v>
      </c>
      <c r="G152" t="s">
        <v>47</v>
      </c>
      <c r="H152">
        <v>10</v>
      </c>
      <c r="J152" t="s">
        <v>21</v>
      </c>
    </row>
    <row r="153" spans="1:10" x14ac:dyDescent="0.25">
      <c r="A153">
        <f t="shared" si="12"/>
        <v>151</v>
      </c>
      <c r="B153">
        <v>153</v>
      </c>
      <c r="C153" t="str">
        <f t="shared" si="10"/>
        <v>INCOMPLETA</v>
      </c>
      <c r="D153" t="str">
        <f t="shared" si="11"/>
        <v>PRECO_VAZIA; CLIENTE_VAZIA; PRODUTO_VAZIA</v>
      </c>
      <c r="E153" t="s">
        <v>130</v>
      </c>
      <c r="H153">
        <v>10</v>
      </c>
      <c r="J153" t="s">
        <v>13</v>
      </c>
    </row>
    <row r="154" spans="1:10" x14ac:dyDescent="0.25">
      <c r="A154">
        <f t="shared" si="12"/>
        <v>152</v>
      </c>
      <c r="B154">
        <v>154</v>
      </c>
      <c r="C154" t="str">
        <f t="shared" si="10"/>
        <v>INCOMPLETA</v>
      </c>
      <c r="D154" t="str">
        <f t="shared" si="11"/>
        <v>QUANTIDADE_VAZIA</v>
      </c>
      <c r="E154" t="s">
        <v>138</v>
      </c>
      <c r="F154" t="s">
        <v>26</v>
      </c>
      <c r="G154" t="s">
        <v>15</v>
      </c>
      <c r="I154">
        <v>382.51</v>
      </c>
      <c r="J154" t="s">
        <v>13</v>
      </c>
    </row>
    <row r="155" spans="1:10" x14ac:dyDescent="0.25">
      <c r="A155">
        <f t="shared" si="12"/>
        <v>153</v>
      </c>
      <c r="B155">
        <v>155</v>
      </c>
      <c r="C155" t="str">
        <f t="shared" si="10"/>
        <v>INCOMPLETA</v>
      </c>
      <c r="D155" t="str">
        <f t="shared" si="11"/>
        <v>QUANTIDADE_NEGATIVA; PRECO_TEXTO; CIDADE_VAZIA</v>
      </c>
      <c r="E155" t="s">
        <v>139</v>
      </c>
      <c r="F155" t="s">
        <v>33</v>
      </c>
      <c r="G155" t="s">
        <v>31</v>
      </c>
      <c r="H155">
        <v>-3</v>
      </c>
      <c r="I155" t="s">
        <v>35</v>
      </c>
    </row>
    <row r="156" spans="1:10" x14ac:dyDescent="0.25">
      <c r="A156">
        <f t="shared" si="12"/>
        <v>154</v>
      </c>
      <c r="B156">
        <v>156</v>
      </c>
      <c r="C156" t="str">
        <f t="shared" si="10"/>
        <v>COMPLETA</v>
      </c>
      <c r="D156" t="str">
        <f t="shared" si="11"/>
        <v/>
      </c>
      <c r="E156" t="s">
        <v>42</v>
      </c>
      <c r="F156" t="s">
        <v>12</v>
      </c>
      <c r="G156" t="s">
        <v>31</v>
      </c>
      <c r="H156">
        <v>10</v>
      </c>
      <c r="I156">
        <v>400.2</v>
      </c>
      <c r="J156" t="s">
        <v>17</v>
      </c>
    </row>
    <row r="157" spans="1:10" x14ac:dyDescent="0.25">
      <c r="A157">
        <f t="shared" si="12"/>
        <v>155</v>
      </c>
      <c r="B157">
        <v>157</v>
      </c>
      <c r="C157" t="str">
        <f t="shared" si="10"/>
        <v>COMPLETA</v>
      </c>
      <c r="D157" t="str">
        <f t="shared" si="11"/>
        <v>PRECO_TEXTO</v>
      </c>
      <c r="E157" t="s">
        <v>135</v>
      </c>
      <c r="F157" t="s">
        <v>33</v>
      </c>
      <c r="G157" t="s">
        <v>31</v>
      </c>
      <c r="H157">
        <v>2</v>
      </c>
      <c r="I157" t="s">
        <v>35</v>
      </c>
      <c r="J157" t="s">
        <v>21</v>
      </c>
    </row>
    <row r="158" spans="1:10" x14ac:dyDescent="0.25">
      <c r="A158">
        <f t="shared" si="12"/>
        <v>156</v>
      </c>
      <c r="B158">
        <v>158</v>
      </c>
      <c r="C158" t="str">
        <f t="shared" si="10"/>
        <v>INCOMPLETA</v>
      </c>
      <c r="D158" t="str">
        <f t="shared" si="11"/>
        <v>QUANTIDADE_NEGATIVA; CLIENTE_VAZIA; PRODUTO_VAZIA</v>
      </c>
      <c r="E158" t="s">
        <v>91</v>
      </c>
      <c r="H158">
        <v>-3</v>
      </c>
      <c r="I158">
        <v>294.36</v>
      </c>
      <c r="J158" t="s">
        <v>49</v>
      </c>
    </row>
    <row r="159" spans="1:10" x14ac:dyDescent="0.25">
      <c r="A159">
        <f t="shared" si="12"/>
        <v>157</v>
      </c>
      <c r="B159">
        <v>159</v>
      </c>
      <c r="C159" t="str">
        <f t="shared" si="10"/>
        <v>COMPLETA</v>
      </c>
      <c r="D159" t="str">
        <f t="shared" si="11"/>
        <v>QUANTIDADE_NEGATIVA</v>
      </c>
      <c r="E159" t="s">
        <v>45</v>
      </c>
      <c r="F159" t="s">
        <v>26</v>
      </c>
      <c r="G159" t="s">
        <v>19</v>
      </c>
      <c r="H159">
        <v>-3</v>
      </c>
      <c r="I159">
        <v>255.67</v>
      </c>
      <c r="J159" t="s">
        <v>49</v>
      </c>
    </row>
    <row r="160" spans="1:10" x14ac:dyDescent="0.25">
      <c r="A160">
        <f t="shared" si="12"/>
        <v>158</v>
      </c>
      <c r="B160">
        <v>160</v>
      </c>
      <c r="C160" t="str">
        <f t="shared" si="10"/>
        <v>INCOMPLETA</v>
      </c>
      <c r="D160" t="str">
        <f t="shared" si="11"/>
        <v>PRECO_NEGATIVO; PRODUTO_VAZIA</v>
      </c>
      <c r="E160" t="s">
        <v>140</v>
      </c>
      <c r="F160" t="s">
        <v>12</v>
      </c>
      <c r="H160">
        <v>6</v>
      </c>
      <c r="I160">
        <v>-10</v>
      </c>
      <c r="J160" t="s">
        <v>49</v>
      </c>
    </row>
    <row r="161" spans="1:10" x14ac:dyDescent="0.25">
      <c r="A161">
        <f t="shared" si="12"/>
        <v>159</v>
      </c>
      <c r="B161">
        <v>161</v>
      </c>
      <c r="C161" t="str">
        <f t="shared" si="10"/>
        <v>INCOMPLETA</v>
      </c>
      <c r="D161" t="str">
        <f t="shared" si="11"/>
        <v>PRECO_TEXTO; CIDADE_VAZIA</v>
      </c>
      <c r="E161" t="s">
        <v>141</v>
      </c>
      <c r="F161" t="s">
        <v>26</v>
      </c>
      <c r="G161" t="s">
        <v>19</v>
      </c>
      <c r="H161">
        <v>10</v>
      </c>
      <c r="I161" t="s">
        <v>35</v>
      </c>
    </row>
    <row r="162" spans="1:10" x14ac:dyDescent="0.25">
      <c r="A162">
        <f t="shared" si="12"/>
        <v>160</v>
      </c>
      <c r="B162">
        <v>162</v>
      </c>
      <c r="C162" t="str">
        <f t="shared" ref="C162:C193" si="13">IF(AND(B162&lt;&gt;"",E162&lt;&gt;"",F162&lt;&gt;"",G162&lt;&gt;"",H162&lt;&gt;"",I162&lt;&gt;"",J162&lt;&gt;""),"COMPLETA","INCOMPLETA")</f>
        <v>COMPLETA</v>
      </c>
      <c r="D162" t="str">
        <f t="shared" ref="D162:D193" si="14">_xlfn.TEXTJOIN("; ", TRUE,
  IF(H162="", "QUANTIDADE_VAZIA", ""),
  IF(AND(ISNUMBER(H162), H162&lt;0), "QUANTIDADE_NEGATIVA", ""),
  IF(I162="", "PRECO_VAZIA", ""),
  IF(AND(ISNUMBER(I162), I162&lt;0), "PRECO_NEGATIVO", ""),
  IF(AND(I162&lt;&gt;"", NOT(ISNUMBER(I162))), "PRECO_TEXTO", ""),
  IF(F162="", "CLIENTE_VAZIA", ""),
  IF(G162="", "PRODUTO_VAZIA", ""),
  IF(J162="", "CIDADE_VAZIA", ""),
  IF(E162="", "DATA_VAZIA", "")
)</f>
        <v>PRECO_NEGATIVO</v>
      </c>
      <c r="E162" t="s">
        <v>76</v>
      </c>
      <c r="F162" t="s">
        <v>8</v>
      </c>
      <c r="G162" t="s">
        <v>23</v>
      </c>
      <c r="H162">
        <v>11</v>
      </c>
      <c r="I162">
        <v>-10</v>
      </c>
      <c r="J162" t="s">
        <v>17</v>
      </c>
    </row>
    <row r="163" spans="1:10" x14ac:dyDescent="0.25">
      <c r="A163">
        <f t="shared" si="12"/>
        <v>161</v>
      </c>
      <c r="B163">
        <v>163</v>
      </c>
      <c r="C163" t="str">
        <f t="shared" si="13"/>
        <v>INCOMPLETA</v>
      </c>
      <c r="D163" t="str">
        <f t="shared" si="14"/>
        <v>PRECO_VAZIA; CLIENTE_VAZIA</v>
      </c>
      <c r="E163" t="s">
        <v>142</v>
      </c>
      <c r="G163" t="s">
        <v>15</v>
      </c>
      <c r="H163">
        <v>11</v>
      </c>
      <c r="J163" t="s">
        <v>17</v>
      </c>
    </row>
    <row r="164" spans="1:10" x14ac:dyDescent="0.25">
      <c r="A164">
        <f t="shared" si="12"/>
        <v>162</v>
      </c>
      <c r="B164">
        <v>164</v>
      </c>
      <c r="C164" t="str">
        <f t="shared" si="13"/>
        <v>INCOMPLETA</v>
      </c>
      <c r="D164" t="str">
        <f t="shared" si="14"/>
        <v>PRECO_NEGATIVO; CIDADE_VAZIA</v>
      </c>
      <c r="E164" t="s">
        <v>143</v>
      </c>
      <c r="F164" t="s">
        <v>33</v>
      </c>
      <c r="G164" t="s">
        <v>15</v>
      </c>
      <c r="H164">
        <v>20</v>
      </c>
      <c r="I164">
        <v>-10</v>
      </c>
    </row>
    <row r="165" spans="1:10" x14ac:dyDescent="0.25">
      <c r="A165">
        <f t="shared" si="12"/>
        <v>163</v>
      </c>
      <c r="B165">
        <v>165</v>
      </c>
      <c r="C165" t="str">
        <f t="shared" si="13"/>
        <v>INCOMPLETA</v>
      </c>
      <c r="D165" t="str">
        <f t="shared" si="14"/>
        <v>PRECO_TEXTO; CLIENTE_VAZIA</v>
      </c>
      <c r="E165" t="s">
        <v>127</v>
      </c>
      <c r="G165" t="s">
        <v>23</v>
      </c>
      <c r="H165">
        <v>10</v>
      </c>
      <c r="I165" t="s">
        <v>35</v>
      </c>
      <c r="J165" t="s">
        <v>13</v>
      </c>
    </row>
    <row r="166" spans="1:10" x14ac:dyDescent="0.25">
      <c r="A166">
        <f t="shared" si="12"/>
        <v>164</v>
      </c>
      <c r="B166">
        <v>165</v>
      </c>
      <c r="C166" t="str">
        <f t="shared" si="13"/>
        <v>COMPLETA</v>
      </c>
      <c r="D166" t="str">
        <f t="shared" si="14"/>
        <v>PRECO_TEXTO</v>
      </c>
      <c r="E166" t="s">
        <v>148</v>
      </c>
      <c r="F166" t="s">
        <v>8</v>
      </c>
      <c r="G166" t="s">
        <v>19</v>
      </c>
      <c r="H166">
        <v>10</v>
      </c>
      <c r="I166" t="s">
        <v>35</v>
      </c>
      <c r="J166" t="s">
        <v>49</v>
      </c>
    </row>
    <row r="167" spans="1:10" x14ac:dyDescent="0.25">
      <c r="A167">
        <f t="shared" si="12"/>
        <v>165</v>
      </c>
      <c r="B167">
        <v>166</v>
      </c>
      <c r="C167" t="str">
        <f t="shared" si="13"/>
        <v>INCOMPLETA</v>
      </c>
      <c r="D167" t="str">
        <f t="shared" si="14"/>
        <v>QUANTIDADE_VAZIA; PRECO_TEXTO</v>
      </c>
      <c r="E167" t="s">
        <v>140</v>
      </c>
      <c r="F167" t="s">
        <v>33</v>
      </c>
      <c r="G167" t="s">
        <v>9</v>
      </c>
      <c r="I167" t="s">
        <v>35</v>
      </c>
      <c r="J167" t="s">
        <v>21</v>
      </c>
    </row>
    <row r="168" spans="1:10" x14ac:dyDescent="0.25">
      <c r="A168">
        <f t="shared" si="12"/>
        <v>166</v>
      </c>
      <c r="B168" t="e" cm="1">
        <f t="array" ref="B168">sequencia_correta</f>
        <v>#NAME?</v>
      </c>
      <c r="C168" t="e">
        <f t="shared" si="13"/>
        <v>#NAME?</v>
      </c>
      <c r="D168" t="str">
        <f t="shared" si="14"/>
        <v>QUANTIDADE_VAZIA; PRECO_VAZIA; CLIENTE_VAZIA</v>
      </c>
      <c r="E168" t="s">
        <v>118</v>
      </c>
      <c r="G168" t="s">
        <v>37</v>
      </c>
      <c r="J168" t="s">
        <v>13</v>
      </c>
    </row>
    <row r="169" spans="1:10" x14ac:dyDescent="0.25">
      <c r="A169">
        <f t="shared" si="12"/>
        <v>167</v>
      </c>
      <c r="B169">
        <v>168</v>
      </c>
      <c r="C169" t="str">
        <f t="shared" si="13"/>
        <v>INCOMPLETA</v>
      </c>
      <c r="D169" t="str">
        <f t="shared" si="14"/>
        <v>PRECO_VAZIA; CLIENTE_VAZIA</v>
      </c>
      <c r="E169" t="s">
        <v>103</v>
      </c>
      <c r="G169" t="s">
        <v>15</v>
      </c>
      <c r="H169">
        <v>15</v>
      </c>
      <c r="J169" t="s">
        <v>49</v>
      </c>
    </row>
    <row r="170" spans="1:10" x14ac:dyDescent="0.25">
      <c r="A170">
        <f t="shared" si="12"/>
        <v>168</v>
      </c>
      <c r="B170">
        <v>169</v>
      </c>
      <c r="C170" t="str">
        <f t="shared" si="13"/>
        <v>INCOMPLETA</v>
      </c>
      <c r="D170" t="str">
        <f t="shared" si="14"/>
        <v>QUANTIDADE_VAZIA; PRECO_NEGATIVO</v>
      </c>
      <c r="E170" t="s">
        <v>77</v>
      </c>
      <c r="F170" t="s">
        <v>33</v>
      </c>
      <c r="G170" t="s">
        <v>9</v>
      </c>
      <c r="I170">
        <v>-10</v>
      </c>
      <c r="J170" t="s">
        <v>13</v>
      </c>
    </row>
    <row r="171" spans="1:10" x14ac:dyDescent="0.25">
      <c r="A171">
        <f t="shared" si="12"/>
        <v>169</v>
      </c>
      <c r="B171">
        <v>170</v>
      </c>
      <c r="C171" t="str">
        <f t="shared" si="13"/>
        <v>COMPLETA</v>
      </c>
      <c r="D171" t="str">
        <f t="shared" si="14"/>
        <v>QUANTIDADE_NEGATIVA; PRECO_NEGATIVO</v>
      </c>
      <c r="E171" t="s">
        <v>45</v>
      </c>
      <c r="F171" t="s">
        <v>33</v>
      </c>
      <c r="G171" t="s">
        <v>31</v>
      </c>
      <c r="H171">
        <v>-3</v>
      </c>
      <c r="I171">
        <v>-10</v>
      </c>
      <c r="J171" t="s">
        <v>13</v>
      </c>
    </row>
    <row r="172" spans="1:10" x14ac:dyDescent="0.25">
      <c r="A172">
        <f t="shared" si="12"/>
        <v>170</v>
      </c>
      <c r="B172">
        <v>171</v>
      </c>
      <c r="C172" t="str">
        <f t="shared" si="13"/>
        <v>INCOMPLETA</v>
      </c>
      <c r="D172" t="str">
        <f t="shared" si="14"/>
        <v>QUANTIDADE_NEGATIVA; CIDADE_VAZIA</v>
      </c>
      <c r="E172" t="s">
        <v>100</v>
      </c>
      <c r="F172" t="s">
        <v>26</v>
      </c>
      <c r="G172" t="s">
        <v>53</v>
      </c>
      <c r="H172">
        <v>-3</v>
      </c>
      <c r="I172">
        <v>438.32</v>
      </c>
    </row>
    <row r="173" spans="1:10" x14ac:dyDescent="0.25">
      <c r="A173">
        <f t="shared" si="12"/>
        <v>171</v>
      </c>
      <c r="B173">
        <v>172</v>
      </c>
      <c r="C173" t="str">
        <f t="shared" si="13"/>
        <v>INCOMPLETA</v>
      </c>
      <c r="D173" t="str">
        <f t="shared" si="14"/>
        <v>PRECO_VAZIA</v>
      </c>
      <c r="E173" t="s">
        <v>71</v>
      </c>
      <c r="F173" t="s">
        <v>8</v>
      </c>
      <c r="G173" t="s">
        <v>23</v>
      </c>
      <c r="H173">
        <v>10</v>
      </c>
      <c r="J173" t="s">
        <v>49</v>
      </c>
    </row>
    <row r="174" spans="1:10" x14ac:dyDescent="0.25">
      <c r="A174">
        <f t="shared" si="12"/>
        <v>172</v>
      </c>
      <c r="B174">
        <v>174</v>
      </c>
      <c r="C174" t="str">
        <f t="shared" si="13"/>
        <v>COMPLETA</v>
      </c>
      <c r="D174" t="str">
        <f t="shared" si="14"/>
        <v>PRECO_TEXTO</v>
      </c>
      <c r="E174" t="s">
        <v>144</v>
      </c>
      <c r="F174" t="s">
        <v>8</v>
      </c>
      <c r="G174" t="s">
        <v>9</v>
      </c>
      <c r="H174">
        <v>10</v>
      </c>
      <c r="I174" t="s">
        <v>35</v>
      </c>
      <c r="J174" t="s">
        <v>13</v>
      </c>
    </row>
    <row r="175" spans="1:10" x14ac:dyDescent="0.25">
      <c r="A175">
        <f t="shared" si="12"/>
        <v>173</v>
      </c>
      <c r="B175">
        <v>175</v>
      </c>
      <c r="C175" t="str">
        <f t="shared" si="13"/>
        <v>INCOMPLETA</v>
      </c>
      <c r="D175" t="str">
        <f t="shared" si="14"/>
        <v>QUANTIDADE_VAZIA; PRECO_TEXTO</v>
      </c>
      <c r="E175" t="s">
        <v>115</v>
      </c>
      <c r="F175" t="s">
        <v>12</v>
      </c>
      <c r="G175" t="s">
        <v>31</v>
      </c>
      <c r="I175" t="s">
        <v>35</v>
      </c>
      <c r="J175" t="s">
        <v>13</v>
      </c>
    </row>
    <row r="176" spans="1:10" x14ac:dyDescent="0.25">
      <c r="A176">
        <f t="shared" si="12"/>
        <v>174</v>
      </c>
      <c r="B176">
        <v>175</v>
      </c>
      <c r="C176" t="str">
        <f t="shared" si="13"/>
        <v>INCOMPLETA</v>
      </c>
      <c r="D176" t="str">
        <f t="shared" si="14"/>
        <v>QUANTIDADE_NEGATIVA; CLIENTE_VAZIA</v>
      </c>
      <c r="E176" t="s">
        <v>123</v>
      </c>
      <c r="G176" t="s">
        <v>19</v>
      </c>
      <c r="H176">
        <v>-3</v>
      </c>
      <c r="I176">
        <v>145.18</v>
      </c>
      <c r="J176" t="s">
        <v>49</v>
      </c>
    </row>
    <row r="177" spans="1:10" x14ac:dyDescent="0.25">
      <c r="A177">
        <f t="shared" si="12"/>
        <v>175</v>
      </c>
      <c r="B177">
        <v>175</v>
      </c>
      <c r="C177" t="str">
        <f t="shared" si="13"/>
        <v>COMPLETA</v>
      </c>
      <c r="D177" t="str">
        <f t="shared" si="14"/>
        <v>QUANTIDADE_NEGATIVA</v>
      </c>
      <c r="E177" t="s">
        <v>111</v>
      </c>
      <c r="F177" t="s">
        <v>33</v>
      </c>
      <c r="G177" t="s">
        <v>15</v>
      </c>
      <c r="H177">
        <v>-3</v>
      </c>
      <c r="I177">
        <v>311.52</v>
      </c>
      <c r="J177" t="s">
        <v>21</v>
      </c>
    </row>
    <row r="178" spans="1:10" x14ac:dyDescent="0.25">
      <c r="A178">
        <f t="shared" si="12"/>
        <v>176</v>
      </c>
      <c r="B178">
        <v>176</v>
      </c>
      <c r="C178" t="str">
        <f t="shared" si="13"/>
        <v>INCOMPLETA</v>
      </c>
      <c r="D178" t="str">
        <f t="shared" si="14"/>
        <v>PRECO_VAZIA; CLIENTE_VAZIA; PRODUTO_VAZIA</v>
      </c>
      <c r="E178" t="s">
        <v>145</v>
      </c>
      <c r="H178">
        <v>14</v>
      </c>
      <c r="J178" t="s">
        <v>17</v>
      </c>
    </row>
    <row r="179" spans="1:10" x14ac:dyDescent="0.25">
      <c r="A179">
        <f t="shared" si="12"/>
        <v>177</v>
      </c>
      <c r="B179">
        <v>177</v>
      </c>
      <c r="C179" t="str">
        <f t="shared" si="13"/>
        <v>COMPLETA</v>
      </c>
      <c r="D179" t="str">
        <f t="shared" si="14"/>
        <v>PRECO_NEGATIVO</v>
      </c>
      <c r="E179" t="s">
        <v>109</v>
      </c>
      <c r="F179" t="s">
        <v>33</v>
      </c>
      <c r="G179" t="s">
        <v>31</v>
      </c>
      <c r="H179">
        <v>3</v>
      </c>
      <c r="I179">
        <v>-10</v>
      </c>
      <c r="J179" t="s">
        <v>10</v>
      </c>
    </row>
    <row r="180" spans="1:10" x14ac:dyDescent="0.25">
      <c r="A180">
        <f t="shared" si="12"/>
        <v>178</v>
      </c>
      <c r="B180">
        <v>178</v>
      </c>
      <c r="C180" t="str">
        <f t="shared" si="13"/>
        <v>INCOMPLETA</v>
      </c>
      <c r="D180" t="str">
        <f t="shared" si="14"/>
        <v>PRECO_TEXTO; CLIENTE_VAZIA</v>
      </c>
      <c r="E180" t="s">
        <v>76</v>
      </c>
      <c r="G180" t="s">
        <v>9</v>
      </c>
      <c r="H180">
        <v>10</v>
      </c>
      <c r="I180" t="s">
        <v>35</v>
      </c>
      <c r="J180" t="s">
        <v>13</v>
      </c>
    </row>
    <row r="181" spans="1:10" x14ac:dyDescent="0.25">
      <c r="A181">
        <f t="shared" si="12"/>
        <v>179</v>
      </c>
      <c r="B181">
        <v>179</v>
      </c>
      <c r="C181" t="str">
        <f t="shared" si="13"/>
        <v>INCOMPLETA</v>
      </c>
      <c r="D181" t="str">
        <f t="shared" si="14"/>
        <v>PRODUTO_VAZIA</v>
      </c>
      <c r="E181" t="s">
        <v>146</v>
      </c>
      <c r="F181" t="s">
        <v>12</v>
      </c>
      <c r="H181">
        <v>12</v>
      </c>
      <c r="I181">
        <v>477.17</v>
      </c>
      <c r="J181" t="s">
        <v>49</v>
      </c>
    </row>
    <row r="182" spans="1:10" x14ac:dyDescent="0.25">
      <c r="A182">
        <f t="shared" si="12"/>
        <v>180</v>
      </c>
      <c r="B182">
        <v>180</v>
      </c>
      <c r="C182" t="str">
        <f t="shared" si="13"/>
        <v>COMPLETA</v>
      </c>
      <c r="D182" t="str">
        <f t="shared" si="14"/>
        <v/>
      </c>
      <c r="E182" t="s">
        <v>147</v>
      </c>
      <c r="F182" t="s">
        <v>33</v>
      </c>
      <c r="G182" t="s">
        <v>19</v>
      </c>
      <c r="H182">
        <v>9</v>
      </c>
      <c r="I182">
        <v>184.98</v>
      </c>
      <c r="J182" t="s">
        <v>17</v>
      </c>
    </row>
    <row r="183" spans="1:10" x14ac:dyDescent="0.25">
      <c r="A183">
        <f t="shared" si="12"/>
        <v>181</v>
      </c>
      <c r="B183">
        <v>181</v>
      </c>
      <c r="C183" t="str">
        <f t="shared" si="13"/>
        <v>INCOMPLETA</v>
      </c>
      <c r="D183" t="str">
        <f t="shared" si="14"/>
        <v>PRECO_TEXTO; CIDADE_VAZIA</v>
      </c>
      <c r="E183" t="s">
        <v>142</v>
      </c>
      <c r="F183" t="s">
        <v>12</v>
      </c>
      <c r="G183" t="s">
        <v>19</v>
      </c>
      <c r="H183">
        <v>5</v>
      </c>
      <c r="I183" t="s">
        <v>35</v>
      </c>
    </row>
    <row r="184" spans="1:10" x14ac:dyDescent="0.25">
      <c r="A184">
        <f t="shared" si="12"/>
        <v>182</v>
      </c>
      <c r="B184">
        <v>182</v>
      </c>
      <c r="C184" t="str">
        <f t="shared" si="13"/>
        <v>INCOMPLETA</v>
      </c>
      <c r="D184" t="str">
        <f t="shared" si="14"/>
        <v>QUANTIDADE_VAZIA; PRECO_NEGATIVO</v>
      </c>
      <c r="E184" t="s">
        <v>115</v>
      </c>
      <c r="F184" t="s">
        <v>33</v>
      </c>
      <c r="G184" t="s">
        <v>31</v>
      </c>
      <c r="I184">
        <v>-10</v>
      </c>
      <c r="J184" t="s">
        <v>21</v>
      </c>
    </row>
    <row r="185" spans="1:10" x14ac:dyDescent="0.25">
      <c r="A185">
        <f t="shared" si="12"/>
        <v>183</v>
      </c>
      <c r="B185">
        <v>183</v>
      </c>
      <c r="C185" t="str">
        <f t="shared" si="13"/>
        <v>COMPLETA</v>
      </c>
      <c r="D185" t="str">
        <f t="shared" si="14"/>
        <v>PRECO_NEGATIVO</v>
      </c>
      <c r="E185" t="s">
        <v>147</v>
      </c>
      <c r="F185" t="s">
        <v>26</v>
      </c>
      <c r="G185" t="s">
        <v>37</v>
      </c>
      <c r="H185">
        <v>10</v>
      </c>
      <c r="I185">
        <v>-10</v>
      </c>
      <c r="J185" t="s">
        <v>17</v>
      </c>
    </row>
    <row r="186" spans="1:10" x14ac:dyDescent="0.25">
      <c r="A186">
        <f t="shared" si="12"/>
        <v>184</v>
      </c>
      <c r="B186">
        <v>185</v>
      </c>
      <c r="C186" t="str">
        <f t="shared" si="13"/>
        <v>INCOMPLETA</v>
      </c>
      <c r="D186" t="str">
        <f t="shared" si="14"/>
        <v>QUANTIDADE_VAZIA; PRECO_NEGATIVO</v>
      </c>
      <c r="E186" t="s">
        <v>149</v>
      </c>
      <c r="F186" t="s">
        <v>33</v>
      </c>
      <c r="G186" t="s">
        <v>47</v>
      </c>
      <c r="I186">
        <v>-10</v>
      </c>
      <c r="J186" t="s">
        <v>17</v>
      </c>
    </row>
    <row r="187" spans="1:10" x14ac:dyDescent="0.25">
      <c r="A187">
        <f t="shared" si="12"/>
        <v>185</v>
      </c>
      <c r="B187">
        <v>186</v>
      </c>
      <c r="C187" t="str">
        <f t="shared" si="13"/>
        <v>INCOMPLETA</v>
      </c>
      <c r="D187" t="str">
        <f t="shared" si="14"/>
        <v>PRECO_VAZIA</v>
      </c>
      <c r="E187" t="s">
        <v>150</v>
      </c>
      <c r="F187" t="s">
        <v>8</v>
      </c>
      <c r="G187" t="s">
        <v>23</v>
      </c>
      <c r="H187">
        <v>14</v>
      </c>
      <c r="J187" t="s">
        <v>10</v>
      </c>
    </row>
    <row r="188" spans="1:10" x14ac:dyDescent="0.25">
      <c r="A188">
        <f t="shared" si="12"/>
        <v>186</v>
      </c>
      <c r="B188">
        <v>187</v>
      </c>
      <c r="C188" t="str">
        <f t="shared" si="13"/>
        <v>COMPLETA</v>
      </c>
      <c r="D188" t="str">
        <f t="shared" si="14"/>
        <v>PRECO_NEGATIVO</v>
      </c>
      <c r="E188" t="s">
        <v>151</v>
      </c>
      <c r="F188" t="s">
        <v>12</v>
      </c>
      <c r="G188" t="s">
        <v>19</v>
      </c>
      <c r="H188">
        <v>10</v>
      </c>
      <c r="I188">
        <v>-10</v>
      </c>
      <c r="J188" t="s">
        <v>13</v>
      </c>
    </row>
    <row r="189" spans="1:10" x14ac:dyDescent="0.25">
      <c r="A189">
        <f t="shared" si="12"/>
        <v>187</v>
      </c>
      <c r="B189">
        <v>188</v>
      </c>
      <c r="C189" t="str">
        <f t="shared" si="13"/>
        <v>INCOMPLETA</v>
      </c>
      <c r="D189" t="str">
        <f t="shared" si="14"/>
        <v>QUANTIDADE_VAZIA</v>
      </c>
      <c r="E189" t="s">
        <v>66</v>
      </c>
      <c r="F189" t="s">
        <v>33</v>
      </c>
      <c r="G189" t="s">
        <v>9</v>
      </c>
      <c r="I189">
        <v>395.81</v>
      </c>
      <c r="J189" t="s">
        <v>49</v>
      </c>
    </row>
    <row r="190" spans="1:10" x14ac:dyDescent="0.25">
      <c r="A190">
        <f t="shared" si="12"/>
        <v>188</v>
      </c>
      <c r="B190">
        <v>188</v>
      </c>
      <c r="C190" t="str">
        <f t="shared" si="13"/>
        <v>COMPLETA</v>
      </c>
      <c r="D190" t="str">
        <f t="shared" si="14"/>
        <v>QUANTIDADE_NEGATIVA</v>
      </c>
      <c r="E190" t="s">
        <v>152</v>
      </c>
      <c r="F190" t="s">
        <v>33</v>
      </c>
      <c r="G190" t="s">
        <v>37</v>
      </c>
      <c r="H190">
        <v>-3</v>
      </c>
      <c r="I190">
        <v>144.53</v>
      </c>
      <c r="J190" t="s">
        <v>21</v>
      </c>
    </row>
    <row r="191" spans="1:10" x14ac:dyDescent="0.25">
      <c r="A191">
        <f t="shared" si="12"/>
        <v>189</v>
      </c>
      <c r="B191">
        <v>189</v>
      </c>
      <c r="C191" t="str">
        <f t="shared" si="13"/>
        <v>INCOMPLETA</v>
      </c>
      <c r="D191" t="str">
        <f t="shared" si="14"/>
        <v>PRECO_NEGATIVO; PRODUTO_VAZIA</v>
      </c>
      <c r="E191" t="s">
        <v>56</v>
      </c>
      <c r="F191" t="s">
        <v>8</v>
      </c>
      <c r="H191">
        <v>6</v>
      </c>
      <c r="I191">
        <v>-10</v>
      </c>
      <c r="J191" t="s">
        <v>21</v>
      </c>
    </row>
    <row r="192" spans="1:10" x14ac:dyDescent="0.25">
      <c r="A192">
        <f t="shared" si="12"/>
        <v>190</v>
      </c>
      <c r="B192">
        <v>190</v>
      </c>
      <c r="C192" t="str">
        <f t="shared" si="13"/>
        <v>COMPLETA</v>
      </c>
      <c r="D192" t="str">
        <f t="shared" si="14"/>
        <v>PRECO_NEGATIVO</v>
      </c>
      <c r="E192" t="s">
        <v>51</v>
      </c>
      <c r="F192" t="s">
        <v>8</v>
      </c>
      <c r="G192" t="s">
        <v>19</v>
      </c>
      <c r="H192">
        <v>13</v>
      </c>
      <c r="I192">
        <v>-10</v>
      </c>
      <c r="J192" t="s">
        <v>17</v>
      </c>
    </row>
    <row r="193" spans="1:10" x14ac:dyDescent="0.25">
      <c r="A193">
        <f t="shared" si="12"/>
        <v>191</v>
      </c>
      <c r="B193">
        <v>191</v>
      </c>
      <c r="C193" t="str">
        <f t="shared" si="13"/>
        <v>COMPLETA</v>
      </c>
      <c r="D193" t="str">
        <f t="shared" si="14"/>
        <v>PRECO_TEXTO</v>
      </c>
      <c r="E193" t="s">
        <v>125</v>
      </c>
      <c r="F193" t="s">
        <v>12</v>
      </c>
      <c r="G193" t="s">
        <v>15</v>
      </c>
      <c r="H193">
        <v>10</v>
      </c>
      <c r="I193" t="s">
        <v>35</v>
      </c>
      <c r="J193" t="s">
        <v>13</v>
      </c>
    </row>
    <row r="194" spans="1:10" x14ac:dyDescent="0.25">
      <c r="A194">
        <f t="shared" si="12"/>
        <v>192</v>
      </c>
      <c r="B194">
        <v>192</v>
      </c>
      <c r="C194" t="str">
        <f t="shared" ref="C194:C201" si="15">IF(AND(B194&lt;&gt;"",E194&lt;&gt;"",F194&lt;&gt;"",G194&lt;&gt;"",H194&lt;&gt;"",I194&lt;&gt;"",J194&lt;&gt;""),"COMPLETA","INCOMPLETA")</f>
        <v>COMPLETA</v>
      </c>
      <c r="D194" t="str">
        <f t="shared" ref="D194:D200" si="16">_xlfn.TEXTJOIN("; ", TRUE,
  IF(H194="", "QUANTIDADE_VAZIA", ""),
  IF(AND(ISNUMBER(H194), H194&lt;0), "QUANTIDADE_NEGATIVA", ""),
  IF(I194="", "PRECO_VAZIA", ""),
  IF(AND(ISNUMBER(I194), I194&lt;0), "PRECO_NEGATIVO", ""),
  IF(AND(I194&lt;&gt;"", NOT(ISNUMBER(I194))), "PRECO_TEXTO", ""),
  IF(F194="", "CLIENTE_VAZIA", ""),
  IF(G194="", "PRODUTO_VAZIA", ""),
  IF(J194="", "CIDADE_VAZIA", ""),
  IF(E194="", "DATA_VAZIA", "")
)</f>
        <v>QUANTIDADE_NEGATIVA</v>
      </c>
      <c r="E194" t="s">
        <v>7</v>
      </c>
      <c r="F194" t="s">
        <v>26</v>
      </c>
      <c r="G194" t="s">
        <v>31</v>
      </c>
      <c r="H194">
        <v>-3</v>
      </c>
      <c r="I194">
        <v>457.64</v>
      </c>
      <c r="J194" t="s">
        <v>17</v>
      </c>
    </row>
    <row r="195" spans="1:10" x14ac:dyDescent="0.25">
      <c r="A195">
        <f t="shared" ref="A195:A201" si="17">ROW() -2</f>
        <v>193</v>
      </c>
      <c r="B195">
        <v>193</v>
      </c>
      <c r="C195" t="str">
        <f t="shared" si="15"/>
        <v>COMPLETA</v>
      </c>
      <c r="D195" t="str">
        <f t="shared" si="16"/>
        <v>PRECO_NEGATIVO</v>
      </c>
      <c r="E195" t="s">
        <v>79</v>
      </c>
      <c r="F195" t="s">
        <v>33</v>
      </c>
      <c r="G195" t="s">
        <v>9</v>
      </c>
      <c r="H195">
        <v>10</v>
      </c>
      <c r="I195">
        <v>-10</v>
      </c>
      <c r="J195" t="s">
        <v>13</v>
      </c>
    </row>
    <row r="196" spans="1:10" x14ac:dyDescent="0.25">
      <c r="A196">
        <f t="shared" si="17"/>
        <v>194</v>
      </c>
      <c r="B196">
        <v>194</v>
      </c>
      <c r="C196" t="str">
        <f t="shared" si="15"/>
        <v>INCOMPLETA</v>
      </c>
      <c r="D196" t="str">
        <f t="shared" si="16"/>
        <v>PRECO_TEXTO; CIDADE_VAZIA</v>
      </c>
      <c r="E196" t="s">
        <v>98</v>
      </c>
      <c r="F196" t="s">
        <v>33</v>
      </c>
      <c r="G196" t="s">
        <v>15</v>
      </c>
      <c r="H196">
        <v>15</v>
      </c>
      <c r="I196" t="s">
        <v>35</v>
      </c>
    </row>
    <row r="197" spans="1:10" x14ac:dyDescent="0.25">
      <c r="A197">
        <f t="shared" si="17"/>
        <v>195</v>
      </c>
      <c r="B197">
        <v>195</v>
      </c>
      <c r="C197" t="str">
        <f t="shared" si="15"/>
        <v>INCOMPLETA</v>
      </c>
      <c r="D197" t="str">
        <f t="shared" si="16"/>
        <v>PRECO_VAZIA; CLIENTE_VAZIA; PRODUTO_VAZIA</v>
      </c>
      <c r="E197" t="s">
        <v>153</v>
      </c>
      <c r="H197">
        <v>10</v>
      </c>
      <c r="J197" t="s">
        <v>17</v>
      </c>
    </row>
    <row r="198" spans="1:10" x14ac:dyDescent="0.25">
      <c r="A198">
        <f t="shared" si="17"/>
        <v>196</v>
      </c>
      <c r="B198">
        <v>196</v>
      </c>
      <c r="C198" t="str">
        <f t="shared" si="15"/>
        <v>COMPLETA</v>
      </c>
      <c r="D198" t="str">
        <f t="shared" si="16"/>
        <v>QUANTIDADE_NEGATIVA; PRECO_TEXTO</v>
      </c>
      <c r="E198" t="s">
        <v>71</v>
      </c>
      <c r="F198" t="s">
        <v>26</v>
      </c>
      <c r="G198" t="s">
        <v>15</v>
      </c>
      <c r="H198">
        <v>-3</v>
      </c>
      <c r="I198" t="s">
        <v>35</v>
      </c>
      <c r="J198" t="s">
        <v>49</v>
      </c>
    </row>
    <row r="199" spans="1:10" x14ac:dyDescent="0.25">
      <c r="A199">
        <f t="shared" si="17"/>
        <v>197</v>
      </c>
      <c r="B199">
        <v>197</v>
      </c>
      <c r="C199" t="str">
        <f t="shared" si="15"/>
        <v>COMPLETA</v>
      </c>
      <c r="D199" t="str">
        <f t="shared" si="16"/>
        <v>PRECO_NEGATIVO</v>
      </c>
      <c r="E199" t="s">
        <v>34</v>
      </c>
      <c r="F199" t="s">
        <v>26</v>
      </c>
      <c r="G199" t="s">
        <v>23</v>
      </c>
      <c r="H199">
        <v>10</v>
      </c>
      <c r="I199">
        <v>-10</v>
      </c>
      <c r="J199" t="s">
        <v>10</v>
      </c>
    </row>
    <row r="200" spans="1:10" x14ac:dyDescent="0.25">
      <c r="A200">
        <f t="shared" si="17"/>
        <v>198</v>
      </c>
      <c r="B200">
        <v>198</v>
      </c>
      <c r="C200" t="str">
        <f t="shared" si="15"/>
        <v>INCOMPLETA</v>
      </c>
      <c r="D200" t="str">
        <f t="shared" si="16"/>
        <v>PRECO_NEGATIVO; CLIENTE_VAZIA</v>
      </c>
      <c r="E200" t="s">
        <v>65</v>
      </c>
      <c r="G200" t="s">
        <v>23</v>
      </c>
      <c r="H200">
        <v>10</v>
      </c>
      <c r="I200">
        <v>-10</v>
      </c>
      <c r="J200" t="s">
        <v>49</v>
      </c>
    </row>
    <row r="201" spans="1:10" x14ac:dyDescent="0.25">
      <c r="A201">
        <f t="shared" si="17"/>
        <v>199</v>
      </c>
      <c r="B201">
        <v>199</v>
      </c>
      <c r="C201" t="str">
        <f t="shared" si="15"/>
        <v>INCOMPLETA</v>
      </c>
      <c r="D201" t="str">
        <f>_xlfn.TEXTJOIN("; ", TRUE,
  IF(H201="", "QUANTIDADE_VAZIA", ""),
  IF(AND(ISNUMBER(H201), H201&lt;0), "QUANTIDADE_NEGATIVA", ""),
  IF(I201="", "PRECO_VAZIA", ""),
  IF(AND(ISNUMBER(I201), I201&lt;0), "PRECO_NEGATIVO", ""),
  IF(AND(I201&lt;&gt;"", NOT(ISNUMBER(I201))), "PRECO_TEXTO", ""),
  IF(F201="", "CLIENTE_VAZIA", ""),
  IF(G201="", "PRODUTO_VAZIA", ""),
  IF(J201="", "CIDADE_VAZIA", ""),
  IF(E201="", "DATA_VAZIA", "")
)</f>
        <v>QUANTIDADE_VAZIA; PRECO_VAZIA; PRODUTO_VAZIA</v>
      </c>
      <c r="E201" t="s">
        <v>92</v>
      </c>
      <c r="F201" t="s">
        <v>26</v>
      </c>
      <c r="J201" t="s">
        <v>49</v>
      </c>
    </row>
  </sheetData>
  <conditionalFormatting sqref="B1:B201">
    <cfRule type="duplicateValues" dxfId="9" priority="1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A12E8-72B9-4D93-838E-30E77A32B70D}">
  <dimension ref="A1:AB201"/>
  <sheetViews>
    <sheetView zoomScale="85" zoomScaleNormal="85" workbookViewId="0">
      <selection activeCell="D41" sqref="D41"/>
    </sheetView>
  </sheetViews>
  <sheetFormatPr defaultRowHeight="15" x14ac:dyDescent="0.25"/>
  <cols>
    <col min="1" max="1" width="20.28515625" bestFit="1" customWidth="1"/>
    <col min="2" max="2" width="10.42578125" bestFit="1" customWidth="1"/>
    <col min="3" max="3" width="14.85546875" bestFit="1" customWidth="1"/>
    <col min="4" max="4" width="14.85546875" customWidth="1"/>
    <col min="5" max="5" width="92.28515625" bestFit="1" customWidth="1"/>
    <col min="6" max="6" width="12.42578125" customWidth="1"/>
    <col min="7" max="7" width="14.42578125" bestFit="1" customWidth="1"/>
    <col min="8" max="8" width="16" bestFit="1" customWidth="1"/>
    <col min="9" max="9" width="16.42578125" customWidth="1"/>
    <col min="10" max="10" width="16.7109375" bestFit="1" customWidth="1"/>
    <col min="11" max="11" width="18.140625" customWidth="1"/>
    <col min="12" max="12" width="10.5703125" bestFit="1" customWidth="1"/>
    <col min="13" max="13" width="16" customWidth="1"/>
    <col min="27" max="27" width="15" bestFit="1" customWidth="1"/>
  </cols>
  <sheetData>
    <row r="1" spans="1:28" x14ac:dyDescent="0.25">
      <c r="A1" t="s">
        <v>154</v>
      </c>
      <c r="B1" t="s">
        <v>0</v>
      </c>
      <c r="C1" t="s">
        <v>160</v>
      </c>
      <c r="D1" t="s">
        <v>159</v>
      </c>
      <c r="E1" t="s">
        <v>156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158</v>
      </c>
      <c r="L1" t="s">
        <v>6</v>
      </c>
      <c r="AB1" t="s">
        <v>159</v>
      </c>
    </row>
    <row r="2" spans="1:28" x14ac:dyDescent="0.25">
      <c r="A2">
        <f>ROW() -2</f>
        <v>0</v>
      </c>
      <c r="B2">
        <v>0</v>
      </c>
      <c r="C2" t="str">
        <f t="shared" ref="C2:C33" si="0">IF(AND(B2&lt;&gt;"",F2&lt;&gt;"",G2&lt;&gt;"",H2&lt;&gt;"",I2&lt;&gt;"",K2&lt;&gt;"",L2&lt;&gt;""),"COMPLETA","INCOMPLETA")</f>
        <v>INCOMPLETA</v>
      </c>
      <c r="D2" t="str">
        <f t="shared" ref="D2:D33" si="1">IF(AND(C2="COMPLETA", ISNUMBER(I2), I2&gt;0, ISNUMBER(K2), K2&gt;0), "OK", "ERRO")</f>
        <v>ERRO</v>
      </c>
      <c r="E2" t="str">
        <f t="shared" ref="E2:E33" si="2">_xlfn.TEXTJOIN("; ", TRUE,
  IF(G2="", "QUANTIDADE_VAZIA", ""),
  IF(AND(ISNUMBER(I2), I2&lt;0), "QUANTIDADE_NEGATIVA", ""),
  IF(K2="", "PRECO_VAZIA", ""),
  IF(G2="", "CLIENTE_VAZIA", ""),
  IF(H2="", "PRODUTO_VAZIA", ""),
  IF(L2="", "CIDADE_VAZIA", ""),
  IF(F2="", "DATA_VAZIA", "")
)</f>
        <v/>
      </c>
      <c r="F2" s="1" t="s">
        <v>7</v>
      </c>
      <c r="G2" t="s">
        <v>8</v>
      </c>
      <c r="H2" t="s">
        <v>9</v>
      </c>
      <c r="J2" s="2">
        <v>370.87</v>
      </c>
      <c r="K2" s="3">
        <f t="shared" ref="K2:K33" si="3">IF(J2&gt;0, J2, "")</f>
        <v>370.87</v>
      </c>
      <c r="L2" t="s">
        <v>10</v>
      </c>
      <c r="AB2" t="s">
        <v>161</v>
      </c>
    </row>
    <row r="3" spans="1:28" x14ac:dyDescent="0.25">
      <c r="A3">
        <f t="shared" ref="A3:A66" si="4">ROW() -2</f>
        <v>1</v>
      </c>
      <c r="B3">
        <v>1</v>
      </c>
      <c r="C3" t="str">
        <f t="shared" si="0"/>
        <v>INCOMPLETA</v>
      </c>
      <c r="D3" t="str">
        <f t="shared" si="1"/>
        <v>ERRO</v>
      </c>
      <c r="E3" t="str">
        <f t="shared" si="2"/>
        <v>PRECO_VAZIA</v>
      </c>
      <c r="F3" s="1" t="s">
        <v>11</v>
      </c>
      <c r="G3" t="s">
        <v>12</v>
      </c>
      <c r="H3" t="s">
        <v>9</v>
      </c>
      <c r="I3">
        <v>8</v>
      </c>
      <c r="J3" s="2">
        <v>-10</v>
      </c>
      <c r="K3" s="3" t="str">
        <f t="shared" si="3"/>
        <v/>
      </c>
      <c r="L3" t="s">
        <v>13</v>
      </c>
    </row>
    <row r="4" spans="1:28" x14ac:dyDescent="0.25">
      <c r="A4">
        <f t="shared" si="4"/>
        <v>2</v>
      </c>
      <c r="B4">
        <v>2</v>
      </c>
      <c r="C4" t="str">
        <f t="shared" si="0"/>
        <v>INCOMPLETA</v>
      </c>
      <c r="D4" t="str">
        <f t="shared" si="1"/>
        <v>ERRO</v>
      </c>
      <c r="E4" t="str">
        <f t="shared" si="2"/>
        <v>PRECO_VAZIA</v>
      </c>
      <c r="F4" s="1" t="s">
        <v>14</v>
      </c>
      <c r="G4" t="s">
        <v>12</v>
      </c>
      <c r="H4" t="s">
        <v>15</v>
      </c>
      <c r="I4">
        <v>10</v>
      </c>
      <c r="J4" s="2"/>
      <c r="K4" s="3" t="str">
        <f t="shared" si="3"/>
        <v/>
      </c>
      <c r="L4" t="s">
        <v>17</v>
      </c>
    </row>
    <row r="5" spans="1:28" x14ac:dyDescent="0.25">
      <c r="A5">
        <f t="shared" si="4"/>
        <v>3</v>
      </c>
      <c r="B5">
        <v>3</v>
      </c>
      <c r="C5" t="str">
        <f t="shared" si="0"/>
        <v>INCOMPLETA</v>
      </c>
      <c r="D5" t="str">
        <f t="shared" si="1"/>
        <v>ERRO</v>
      </c>
      <c r="E5" t="str">
        <f t="shared" si="2"/>
        <v>PRECO_VAZIA</v>
      </c>
      <c r="F5" s="1" t="s">
        <v>18</v>
      </c>
      <c r="G5" t="s">
        <v>12</v>
      </c>
      <c r="H5" t="s">
        <v>19</v>
      </c>
      <c r="I5">
        <v>10</v>
      </c>
      <c r="J5" s="2">
        <v>-10</v>
      </c>
      <c r="K5" s="3" t="str">
        <f t="shared" si="3"/>
        <v/>
      </c>
      <c r="L5" t="s">
        <v>10</v>
      </c>
    </row>
    <row r="6" spans="1:28" x14ac:dyDescent="0.25">
      <c r="A6">
        <f t="shared" si="4"/>
        <v>4</v>
      </c>
      <c r="B6">
        <v>4</v>
      </c>
      <c r="C6" t="str">
        <f t="shared" si="0"/>
        <v>INCOMPLETA</v>
      </c>
      <c r="D6" t="str">
        <f t="shared" si="1"/>
        <v>ERRO</v>
      </c>
      <c r="E6" t="str">
        <f t="shared" si="2"/>
        <v>PRODUTO_VAZIA</v>
      </c>
      <c r="F6" s="1" t="s">
        <v>20</v>
      </c>
      <c r="G6" t="s">
        <v>12</v>
      </c>
      <c r="I6">
        <v>10</v>
      </c>
      <c r="J6" s="2">
        <v>292.89999999999998</v>
      </c>
      <c r="K6" s="3">
        <f t="shared" si="3"/>
        <v>292.89999999999998</v>
      </c>
      <c r="L6" t="s">
        <v>21</v>
      </c>
    </row>
    <row r="7" spans="1:28" x14ac:dyDescent="0.25">
      <c r="A7">
        <f t="shared" si="4"/>
        <v>5</v>
      </c>
      <c r="B7">
        <v>5</v>
      </c>
      <c r="C7" t="str">
        <f t="shared" si="0"/>
        <v>INCOMPLETA</v>
      </c>
      <c r="D7" t="str">
        <f t="shared" si="1"/>
        <v>ERRO</v>
      </c>
      <c r="E7" t="str">
        <f t="shared" si="2"/>
        <v>PRECO_VAZIA; CIDADE_VAZIA</v>
      </c>
      <c r="F7" s="1" t="s">
        <v>22</v>
      </c>
      <c r="G7" t="s">
        <v>8</v>
      </c>
      <c r="H7" t="s">
        <v>23</v>
      </c>
      <c r="I7">
        <v>8</v>
      </c>
      <c r="J7" s="2">
        <v>-10</v>
      </c>
      <c r="K7" s="3" t="str">
        <f t="shared" si="3"/>
        <v/>
      </c>
    </row>
    <row r="8" spans="1:28" x14ac:dyDescent="0.25">
      <c r="A8">
        <f t="shared" si="4"/>
        <v>6</v>
      </c>
      <c r="B8">
        <v>6</v>
      </c>
      <c r="C8" t="str">
        <f t="shared" si="0"/>
        <v>COMPLETA</v>
      </c>
      <c r="D8" t="str">
        <f t="shared" si="1"/>
        <v>OK</v>
      </c>
      <c r="E8" t="str">
        <f t="shared" si="2"/>
        <v/>
      </c>
      <c r="F8" t="s">
        <v>24</v>
      </c>
      <c r="G8" t="s">
        <v>8</v>
      </c>
      <c r="H8" t="s">
        <v>19</v>
      </c>
      <c r="I8">
        <v>10</v>
      </c>
      <c r="J8">
        <v>353.89</v>
      </c>
      <c r="K8" s="3">
        <f t="shared" si="3"/>
        <v>353.89</v>
      </c>
      <c r="L8" t="s">
        <v>10</v>
      </c>
    </row>
    <row r="9" spans="1:28" x14ac:dyDescent="0.25">
      <c r="A9">
        <f t="shared" si="4"/>
        <v>7</v>
      </c>
      <c r="B9">
        <v>7</v>
      </c>
      <c r="C9" t="str">
        <f t="shared" si="0"/>
        <v>INCOMPLETA</v>
      </c>
      <c r="D9" t="str">
        <f t="shared" si="1"/>
        <v>ERRO</v>
      </c>
      <c r="E9" t="str">
        <f t="shared" si="2"/>
        <v>QUANTIDADE_NEGATIVA; PRECO_VAZIA; CIDADE_VAZIA</v>
      </c>
      <c r="F9" s="1" t="s">
        <v>25</v>
      </c>
      <c r="G9" t="s">
        <v>26</v>
      </c>
      <c r="H9" t="s">
        <v>15</v>
      </c>
      <c r="I9">
        <v>-3</v>
      </c>
      <c r="J9" s="2"/>
      <c r="K9" s="3" t="str">
        <f t="shared" si="3"/>
        <v/>
      </c>
    </row>
    <row r="10" spans="1:28" x14ac:dyDescent="0.25">
      <c r="A10">
        <f t="shared" si="4"/>
        <v>8</v>
      </c>
      <c r="B10">
        <v>8</v>
      </c>
      <c r="C10" t="str">
        <f t="shared" si="0"/>
        <v>COMPLETA</v>
      </c>
      <c r="D10" t="str">
        <f t="shared" si="1"/>
        <v>OK</v>
      </c>
      <c r="E10" t="str">
        <f t="shared" si="2"/>
        <v/>
      </c>
      <c r="F10" t="s">
        <v>27</v>
      </c>
      <c r="G10" t="s">
        <v>12</v>
      </c>
      <c r="H10" t="s">
        <v>9</v>
      </c>
      <c r="I10">
        <v>10</v>
      </c>
      <c r="J10">
        <v>206.57</v>
      </c>
      <c r="K10" s="3">
        <f t="shared" si="3"/>
        <v>206.57</v>
      </c>
      <c r="L10" t="s">
        <v>13</v>
      </c>
    </row>
    <row r="11" spans="1:28" x14ac:dyDescent="0.25">
      <c r="A11">
        <f t="shared" si="4"/>
        <v>9</v>
      </c>
      <c r="B11">
        <v>8</v>
      </c>
      <c r="C11" t="str">
        <f t="shared" si="0"/>
        <v>INCOMPLETA</v>
      </c>
      <c r="D11" t="str">
        <f t="shared" si="1"/>
        <v>ERRO</v>
      </c>
      <c r="E11" t="str">
        <f t="shared" si="2"/>
        <v>PRECO_VAZIA; PRODUTO_VAZIA</v>
      </c>
      <c r="F11" s="1" t="s">
        <v>44</v>
      </c>
      <c r="G11" t="s">
        <v>12</v>
      </c>
      <c r="I11">
        <v>10</v>
      </c>
      <c r="J11" s="2"/>
      <c r="K11" s="3" t="str">
        <f t="shared" si="3"/>
        <v/>
      </c>
      <c r="L11" t="s">
        <v>10</v>
      </c>
    </row>
    <row r="12" spans="1:28" x14ac:dyDescent="0.25">
      <c r="A12">
        <f t="shared" si="4"/>
        <v>10</v>
      </c>
      <c r="B12">
        <v>9</v>
      </c>
      <c r="C12" t="str">
        <f t="shared" si="0"/>
        <v>INCOMPLETA</v>
      </c>
      <c r="D12" t="str">
        <f t="shared" si="1"/>
        <v>ERRO</v>
      </c>
      <c r="E12" t="str">
        <f t="shared" si="2"/>
        <v>QUANTIDADE_NEGATIVA; PRECO_VAZIA</v>
      </c>
      <c r="F12" s="1" t="s">
        <v>28</v>
      </c>
      <c r="G12" t="s">
        <v>8</v>
      </c>
      <c r="H12" t="s">
        <v>9</v>
      </c>
      <c r="I12">
        <v>-3</v>
      </c>
      <c r="J12" s="2">
        <v>-10</v>
      </c>
      <c r="K12" s="3" t="str">
        <f t="shared" si="3"/>
        <v/>
      </c>
      <c r="L12" t="s">
        <v>13</v>
      </c>
    </row>
    <row r="13" spans="1:28" x14ac:dyDescent="0.25">
      <c r="A13">
        <f t="shared" si="4"/>
        <v>11</v>
      </c>
      <c r="B13">
        <v>10</v>
      </c>
      <c r="C13" t="str">
        <f t="shared" si="0"/>
        <v>INCOMPLETA</v>
      </c>
      <c r="D13" t="str">
        <f t="shared" si="1"/>
        <v>ERRO</v>
      </c>
      <c r="E13" t="str">
        <f t="shared" si="2"/>
        <v>QUANTIDADE_VAZIA; QUANTIDADE_NEGATIVA; PRECO_VAZIA; CLIENTE_VAZIA; PRODUTO_VAZIA</v>
      </c>
      <c r="F13" s="1" t="s">
        <v>29</v>
      </c>
      <c r="I13">
        <v>-3</v>
      </c>
      <c r="J13" s="2">
        <v>-10</v>
      </c>
      <c r="K13" s="3" t="str">
        <f t="shared" si="3"/>
        <v/>
      </c>
      <c r="L13" t="s">
        <v>17</v>
      </c>
    </row>
    <row r="14" spans="1:28" x14ac:dyDescent="0.25">
      <c r="A14">
        <f t="shared" si="4"/>
        <v>12</v>
      </c>
      <c r="B14">
        <v>11</v>
      </c>
      <c r="C14" t="str">
        <f t="shared" si="0"/>
        <v>INCOMPLETA</v>
      </c>
      <c r="D14" t="str">
        <f t="shared" si="1"/>
        <v>ERRO</v>
      </c>
      <c r="E14" t="str">
        <f t="shared" si="2"/>
        <v>QUANTIDADE_VAZIA; PRECO_VAZIA; CLIENTE_VAZIA; CIDADE_VAZIA</v>
      </c>
      <c r="F14" s="1" t="s">
        <v>30</v>
      </c>
      <c r="H14" t="s">
        <v>31</v>
      </c>
      <c r="I14">
        <v>3</v>
      </c>
      <c r="J14" s="2"/>
      <c r="K14" s="3" t="str">
        <f t="shared" si="3"/>
        <v/>
      </c>
    </row>
    <row r="15" spans="1:28" x14ac:dyDescent="0.25">
      <c r="A15">
        <f t="shared" si="4"/>
        <v>13</v>
      </c>
      <c r="B15">
        <v>12</v>
      </c>
      <c r="C15" t="str">
        <f t="shared" si="0"/>
        <v>INCOMPLETA</v>
      </c>
      <c r="D15" t="str">
        <f t="shared" si="1"/>
        <v>ERRO</v>
      </c>
      <c r="E15" t="str">
        <f t="shared" si="2"/>
        <v>QUANTIDADE_NEGATIVA; PRECO_VAZIA</v>
      </c>
      <c r="F15" s="1" t="s">
        <v>32</v>
      </c>
      <c r="G15" t="s">
        <v>33</v>
      </c>
      <c r="H15" t="s">
        <v>23</v>
      </c>
      <c r="I15">
        <v>-3</v>
      </c>
      <c r="J15" s="2">
        <v>-10</v>
      </c>
      <c r="K15" s="3" t="str">
        <f t="shared" si="3"/>
        <v/>
      </c>
      <c r="L15" t="s">
        <v>10</v>
      </c>
    </row>
    <row r="16" spans="1:28" x14ac:dyDescent="0.25">
      <c r="A16">
        <f t="shared" si="4"/>
        <v>14</v>
      </c>
      <c r="B16">
        <v>13</v>
      </c>
      <c r="C16" t="str">
        <f t="shared" si="0"/>
        <v>COMPLETA</v>
      </c>
      <c r="D16" t="str">
        <f t="shared" si="1"/>
        <v>OK</v>
      </c>
      <c r="E16" t="str">
        <f t="shared" si="2"/>
        <v/>
      </c>
      <c r="F16" s="1" t="s">
        <v>34</v>
      </c>
      <c r="G16" t="s">
        <v>12</v>
      </c>
      <c r="H16" t="s">
        <v>23</v>
      </c>
      <c r="I16">
        <v>10</v>
      </c>
      <c r="J16" s="2">
        <v>30</v>
      </c>
      <c r="K16" s="3">
        <f t="shared" si="3"/>
        <v>30</v>
      </c>
      <c r="L16" t="s">
        <v>21</v>
      </c>
    </row>
    <row r="17" spans="1:12" x14ac:dyDescent="0.25">
      <c r="A17">
        <f t="shared" si="4"/>
        <v>15</v>
      </c>
      <c r="B17">
        <v>14</v>
      </c>
      <c r="C17" t="str">
        <f t="shared" si="0"/>
        <v>INCOMPLETA</v>
      </c>
      <c r="D17" t="str">
        <f t="shared" si="1"/>
        <v>ERRO</v>
      </c>
      <c r="E17" t="str">
        <f t="shared" si="2"/>
        <v>CIDADE_VAZIA</v>
      </c>
      <c r="F17" s="1" t="s">
        <v>36</v>
      </c>
      <c r="G17" t="s">
        <v>33</v>
      </c>
      <c r="H17" t="s">
        <v>37</v>
      </c>
      <c r="J17" s="2">
        <v>258.76</v>
      </c>
      <c r="K17" s="3">
        <f t="shared" si="3"/>
        <v>258.76</v>
      </c>
    </row>
    <row r="18" spans="1:12" x14ac:dyDescent="0.25">
      <c r="A18">
        <f t="shared" si="4"/>
        <v>16</v>
      </c>
      <c r="B18">
        <v>15</v>
      </c>
      <c r="C18" t="str">
        <f t="shared" si="0"/>
        <v>INCOMPLETA</v>
      </c>
      <c r="D18" t="str">
        <f t="shared" si="1"/>
        <v>ERRO</v>
      </c>
      <c r="E18" t="str">
        <f t="shared" si="2"/>
        <v>QUANTIDADE_VAZIA; CLIENTE_VAZIA</v>
      </c>
      <c r="F18" t="s">
        <v>38</v>
      </c>
      <c r="H18" t="s">
        <v>9</v>
      </c>
      <c r="I18">
        <v>10</v>
      </c>
      <c r="J18">
        <v>383.63</v>
      </c>
      <c r="K18" s="3">
        <f t="shared" si="3"/>
        <v>383.63</v>
      </c>
      <c r="L18" t="s">
        <v>10</v>
      </c>
    </row>
    <row r="19" spans="1:12" x14ac:dyDescent="0.25">
      <c r="A19">
        <f t="shared" si="4"/>
        <v>17</v>
      </c>
      <c r="B19">
        <v>16</v>
      </c>
      <c r="C19" t="str">
        <f t="shared" si="0"/>
        <v>INCOMPLETA</v>
      </c>
      <c r="D19" t="str">
        <f t="shared" si="1"/>
        <v>ERRO</v>
      </c>
      <c r="E19" t="str">
        <f t="shared" si="2"/>
        <v/>
      </c>
      <c r="F19" s="1" t="s">
        <v>39</v>
      </c>
      <c r="G19" t="s">
        <v>12</v>
      </c>
      <c r="H19" t="s">
        <v>19</v>
      </c>
      <c r="J19" s="2">
        <v>38.380000000000003</v>
      </c>
      <c r="K19" s="3">
        <f t="shared" si="3"/>
        <v>38.380000000000003</v>
      </c>
      <c r="L19" t="s">
        <v>21</v>
      </c>
    </row>
    <row r="20" spans="1:12" x14ac:dyDescent="0.25">
      <c r="A20">
        <f t="shared" si="4"/>
        <v>18</v>
      </c>
      <c r="B20">
        <v>17</v>
      </c>
      <c r="C20" t="str">
        <f t="shared" si="0"/>
        <v>INCOMPLETA</v>
      </c>
      <c r="D20" t="str">
        <f t="shared" si="1"/>
        <v>ERRO</v>
      </c>
      <c r="E20" t="str">
        <f t="shared" si="2"/>
        <v>QUANTIDADE_VAZIA; QUANTIDADE_NEGATIVA; PRECO_VAZIA; CLIENTE_VAZIA</v>
      </c>
      <c r="F20" s="1" t="s">
        <v>40</v>
      </c>
      <c r="H20" t="s">
        <v>15</v>
      </c>
      <c r="I20">
        <v>-3</v>
      </c>
      <c r="J20" s="2"/>
      <c r="K20" s="3" t="str">
        <f t="shared" si="3"/>
        <v/>
      </c>
      <c r="L20" t="s">
        <v>17</v>
      </c>
    </row>
    <row r="21" spans="1:12" x14ac:dyDescent="0.25">
      <c r="A21">
        <f t="shared" si="4"/>
        <v>19</v>
      </c>
      <c r="B21">
        <v>18</v>
      </c>
      <c r="C21" t="str">
        <f t="shared" si="0"/>
        <v>INCOMPLETA</v>
      </c>
      <c r="D21" t="str">
        <f t="shared" si="1"/>
        <v>ERRO</v>
      </c>
      <c r="E21" t="str">
        <f t="shared" si="2"/>
        <v>PRECO_VAZIA; CIDADE_VAZIA</v>
      </c>
      <c r="F21" s="1" t="s">
        <v>41</v>
      </c>
      <c r="G21" t="s">
        <v>33</v>
      </c>
      <c r="H21" t="s">
        <v>9</v>
      </c>
      <c r="J21" s="2">
        <v>-10</v>
      </c>
      <c r="K21" s="3" t="str">
        <f t="shared" si="3"/>
        <v/>
      </c>
    </row>
    <row r="22" spans="1:12" x14ac:dyDescent="0.25">
      <c r="A22">
        <f t="shared" si="4"/>
        <v>20</v>
      </c>
      <c r="B22">
        <v>19</v>
      </c>
      <c r="C22" t="str">
        <f t="shared" si="0"/>
        <v>INCOMPLETA</v>
      </c>
      <c r="D22" t="str">
        <f t="shared" si="1"/>
        <v>ERRO</v>
      </c>
      <c r="E22" t="str">
        <f t="shared" si="2"/>
        <v>QUANTIDADE_VAZIA; CLIENTE_VAZIA</v>
      </c>
      <c r="F22" s="1" t="s">
        <v>42</v>
      </c>
      <c r="H22" t="s">
        <v>31</v>
      </c>
      <c r="J22" s="2" t="s">
        <v>35</v>
      </c>
      <c r="K22" s="3" t="str">
        <f t="shared" si="3"/>
        <v>R$ 30</v>
      </c>
      <c r="L22" t="s">
        <v>21</v>
      </c>
    </row>
    <row r="23" spans="1:12" x14ac:dyDescent="0.25">
      <c r="A23">
        <f t="shared" si="4"/>
        <v>21</v>
      </c>
      <c r="B23">
        <v>19</v>
      </c>
      <c r="C23" t="str">
        <f t="shared" si="0"/>
        <v>INCOMPLETA</v>
      </c>
      <c r="D23" t="str">
        <f t="shared" si="1"/>
        <v>ERRO</v>
      </c>
      <c r="E23" t="str">
        <f t="shared" si="2"/>
        <v>PRECO_VAZIA; PRODUTO_VAZIA</v>
      </c>
      <c r="F23" s="1" t="s">
        <v>63</v>
      </c>
      <c r="G23" t="s">
        <v>26</v>
      </c>
      <c r="I23">
        <v>10</v>
      </c>
      <c r="J23" s="2"/>
      <c r="K23" s="3" t="str">
        <f t="shared" si="3"/>
        <v/>
      </c>
      <c r="L23" t="s">
        <v>49</v>
      </c>
    </row>
    <row r="24" spans="1:12" x14ac:dyDescent="0.25">
      <c r="A24">
        <f t="shared" si="4"/>
        <v>22</v>
      </c>
      <c r="B24">
        <v>20</v>
      </c>
      <c r="C24" t="str">
        <f t="shared" si="0"/>
        <v>INCOMPLETA</v>
      </c>
      <c r="D24" t="str">
        <f t="shared" si="1"/>
        <v>ERRO</v>
      </c>
      <c r="E24" t="str">
        <f t="shared" si="2"/>
        <v>QUANTIDADE_VAZIA; CLIENTE_VAZIA</v>
      </c>
      <c r="F24" t="s">
        <v>43</v>
      </c>
      <c r="H24" t="s">
        <v>9</v>
      </c>
      <c r="I24">
        <v>1</v>
      </c>
      <c r="J24">
        <v>356.84</v>
      </c>
      <c r="K24" s="3">
        <f t="shared" si="3"/>
        <v>356.84</v>
      </c>
      <c r="L24" t="s">
        <v>13</v>
      </c>
    </row>
    <row r="25" spans="1:12" x14ac:dyDescent="0.25">
      <c r="A25">
        <f t="shared" si="4"/>
        <v>23</v>
      </c>
      <c r="B25">
        <v>22</v>
      </c>
      <c r="C25" t="str">
        <f t="shared" si="0"/>
        <v>INCOMPLETA</v>
      </c>
      <c r="D25" t="str">
        <f t="shared" si="1"/>
        <v>ERRO</v>
      </c>
      <c r="E25" t="str">
        <f t="shared" si="2"/>
        <v>QUANTIDADE_VAZIA; QUANTIDADE_NEGATIVA; PRECO_VAZIA; CLIENTE_VAZIA</v>
      </c>
      <c r="F25" s="1" t="s">
        <v>45</v>
      </c>
      <c r="H25" t="s">
        <v>31</v>
      </c>
      <c r="I25">
        <v>-3</v>
      </c>
      <c r="J25" s="2"/>
      <c r="K25" s="3" t="str">
        <f t="shared" si="3"/>
        <v/>
      </c>
      <c r="L25" t="s">
        <v>21</v>
      </c>
    </row>
    <row r="26" spans="1:12" x14ac:dyDescent="0.25">
      <c r="A26">
        <f t="shared" si="4"/>
        <v>24</v>
      </c>
      <c r="B26">
        <v>24</v>
      </c>
      <c r="C26" t="str">
        <f t="shared" si="0"/>
        <v>INCOMPLETA</v>
      </c>
      <c r="D26" t="str">
        <f t="shared" si="1"/>
        <v>ERRO</v>
      </c>
      <c r="E26" t="str">
        <f t="shared" si="2"/>
        <v>PRECO_VAZIA</v>
      </c>
      <c r="F26" s="1" t="s">
        <v>48</v>
      </c>
      <c r="G26" t="s">
        <v>12</v>
      </c>
      <c r="H26" t="s">
        <v>9</v>
      </c>
      <c r="J26" s="2"/>
      <c r="K26" s="3" t="str">
        <f t="shared" si="3"/>
        <v/>
      </c>
      <c r="L26" t="s">
        <v>49</v>
      </c>
    </row>
    <row r="27" spans="1:12" x14ac:dyDescent="0.25">
      <c r="A27">
        <f t="shared" si="4"/>
        <v>25</v>
      </c>
      <c r="B27">
        <v>25</v>
      </c>
      <c r="C27" t="str">
        <f t="shared" si="0"/>
        <v>COMPLETA</v>
      </c>
      <c r="D27" t="str">
        <f t="shared" si="1"/>
        <v>OK</v>
      </c>
      <c r="E27" t="str">
        <f t="shared" si="2"/>
        <v/>
      </c>
      <c r="F27" t="s">
        <v>50</v>
      </c>
      <c r="G27" t="s">
        <v>26</v>
      </c>
      <c r="H27" t="s">
        <v>23</v>
      </c>
      <c r="I27">
        <v>15</v>
      </c>
      <c r="J27">
        <v>34.79</v>
      </c>
      <c r="K27" s="3">
        <f t="shared" si="3"/>
        <v>34.79</v>
      </c>
      <c r="L27" t="s">
        <v>21</v>
      </c>
    </row>
    <row r="28" spans="1:12" x14ac:dyDescent="0.25">
      <c r="A28">
        <f t="shared" si="4"/>
        <v>26</v>
      </c>
      <c r="B28">
        <v>26</v>
      </c>
      <c r="C28" t="str">
        <f t="shared" si="0"/>
        <v>INCOMPLETA</v>
      </c>
      <c r="D28" t="str">
        <f t="shared" si="1"/>
        <v>ERRO</v>
      </c>
      <c r="E28" t="str">
        <f t="shared" si="2"/>
        <v>QUANTIDADE_NEGATIVA; PRECO_VAZIA</v>
      </c>
      <c r="F28" s="1" t="s">
        <v>51</v>
      </c>
      <c r="G28" t="s">
        <v>26</v>
      </c>
      <c r="H28" t="s">
        <v>47</v>
      </c>
      <c r="I28">
        <v>-3</v>
      </c>
      <c r="J28" s="2">
        <v>-10</v>
      </c>
      <c r="K28" s="3" t="str">
        <f t="shared" si="3"/>
        <v/>
      </c>
      <c r="L28" t="s">
        <v>21</v>
      </c>
    </row>
    <row r="29" spans="1:12" x14ac:dyDescent="0.25">
      <c r="A29">
        <f t="shared" si="4"/>
        <v>27</v>
      </c>
      <c r="B29">
        <v>27</v>
      </c>
      <c r="C29" t="str">
        <f t="shared" si="0"/>
        <v>INCOMPLETA</v>
      </c>
      <c r="D29" t="str">
        <f t="shared" si="1"/>
        <v>ERRO</v>
      </c>
      <c r="E29" t="str">
        <f t="shared" si="2"/>
        <v>PRECO_VAZIA</v>
      </c>
      <c r="F29" s="1" t="s">
        <v>52</v>
      </c>
      <c r="G29" t="s">
        <v>33</v>
      </c>
      <c r="H29" t="s">
        <v>53</v>
      </c>
      <c r="I29">
        <v>10</v>
      </c>
      <c r="J29" s="2">
        <v>-10</v>
      </c>
      <c r="K29" s="3" t="str">
        <f t="shared" si="3"/>
        <v/>
      </c>
      <c r="L29" t="s">
        <v>13</v>
      </c>
    </row>
    <row r="30" spans="1:12" x14ac:dyDescent="0.25">
      <c r="A30">
        <f t="shared" si="4"/>
        <v>28</v>
      </c>
      <c r="B30">
        <v>28</v>
      </c>
      <c r="C30" t="str">
        <f t="shared" si="0"/>
        <v>INCOMPLETA</v>
      </c>
      <c r="D30" t="str">
        <f t="shared" si="1"/>
        <v>ERRO</v>
      </c>
      <c r="E30" t="str">
        <f t="shared" si="2"/>
        <v>PRECO_VAZIA; PRODUTO_VAZIA</v>
      </c>
      <c r="F30" s="1" t="s">
        <v>54</v>
      </c>
      <c r="G30" t="s">
        <v>12</v>
      </c>
      <c r="I30">
        <v>10</v>
      </c>
      <c r="J30" s="2">
        <v>-10</v>
      </c>
      <c r="K30" s="3" t="str">
        <f t="shared" si="3"/>
        <v/>
      </c>
      <c r="L30" t="s">
        <v>10</v>
      </c>
    </row>
    <row r="31" spans="1:12" x14ac:dyDescent="0.25">
      <c r="A31">
        <f t="shared" si="4"/>
        <v>29</v>
      </c>
      <c r="B31">
        <v>29</v>
      </c>
      <c r="C31" t="str">
        <f t="shared" si="0"/>
        <v>COMPLETA</v>
      </c>
      <c r="D31" t="str">
        <f t="shared" si="1"/>
        <v>OK</v>
      </c>
      <c r="E31" t="str">
        <f t="shared" si="2"/>
        <v/>
      </c>
      <c r="F31" t="s">
        <v>55</v>
      </c>
      <c r="G31" t="s">
        <v>26</v>
      </c>
      <c r="H31" t="s">
        <v>37</v>
      </c>
      <c r="I31">
        <v>17</v>
      </c>
      <c r="J31">
        <v>427.16</v>
      </c>
      <c r="K31" s="3">
        <f t="shared" si="3"/>
        <v>427.16</v>
      </c>
      <c r="L31" t="s">
        <v>10</v>
      </c>
    </row>
    <row r="32" spans="1:12" x14ac:dyDescent="0.25">
      <c r="A32">
        <f t="shared" si="4"/>
        <v>30</v>
      </c>
      <c r="B32">
        <v>31</v>
      </c>
      <c r="C32" t="str">
        <f t="shared" si="0"/>
        <v>INCOMPLETA</v>
      </c>
      <c r="D32" t="str">
        <f t="shared" si="1"/>
        <v>ERRO</v>
      </c>
      <c r="E32" t="str">
        <f t="shared" si="2"/>
        <v>PRECO_VAZIA</v>
      </c>
      <c r="F32" s="1" t="s">
        <v>57</v>
      </c>
      <c r="G32" t="s">
        <v>8</v>
      </c>
      <c r="H32" t="s">
        <v>53</v>
      </c>
      <c r="I32">
        <v>10</v>
      </c>
      <c r="J32" s="2">
        <v>-10</v>
      </c>
      <c r="K32" s="3" t="str">
        <f t="shared" si="3"/>
        <v/>
      </c>
      <c r="L32" t="s">
        <v>13</v>
      </c>
    </row>
    <row r="33" spans="1:12" x14ac:dyDescent="0.25">
      <c r="A33">
        <f t="shared" si="4"/>
        <v>31</v>
      </c>
      <c r="B33">
        <v>32</v>
      </c>
      <c r="C33" t="str">
        <f t="shared" si="0"/>
        <v>COMPLETA</v>
      </c>
      <c r="D33" t="str">
        <f t="shared" si="1"/>
        <v>OK</v>
      </c>
      <c r="E33" t="str">
        <f t="shared" si="2"/>
        <v/>
      </c>
      <c r="F33" t="s">
        <v>58</v>
      </c>
      <c r="G33" t="s">
        <v>33</v>
      </c>
      <c r="H33" t="s">
        <v>19</v>
      </c>
      <c r="I33">
        <v>3</v>
      </c>
      <c r="J33">
        <v>234.56</v>
      </c>
      <c r="K33" s="3">
        <f t="shared" si="3"/>
        <v>234.56</v>
      </c>
      <c r="L33" t="s">
        <v>21</v>
      </c>
    </row>
    <row r="34" spans="1:12" x14ac:dyDescent="0.25">
      <c r="A34">
        <f t="shared" si="4"/>
        <v>32</v>
      </c>
      <c r="B34">
        <v>33</v>
      </c>
      <c r="C34" t="str">
        <f t="shared" ref="C34:C65" si="5">IF(AND(B34&lt;&gt;"",F34&lt;&gt;"",G34&lt;&gt;"",H34&lt;&gt;"",I34&lt;&gt;"",K34&lt;&gt;"",L34&lt;&gt;""),"COMPLETA","INCOMPLETA")</f>
        <v>COMPLETA</v>
      </c>
      <c r="D34" t="str">
        <f t="shared" ref="D34:D65" si="6">IF(AND(C34="COMPLETA", ISNUMBER(I34), I34&gt;0, ISNUMBER(K34), K34&gt;0), "OK", "ERRO")</f>
        <v>ERRO</v>
      </c>
      <c r="E34" t="str">
        <f t="shared" ref="E34:E65" si="7">_xlfn.TEXTJOIN("; ", TRUE,
  IF(G34="", "QUANTIDADE_VAZIA", ""),
  IF(AND(ISNUMBER(I34), I34&lt;0), "QUANTIDADE_NEGATIVA", ""),
  IF(K34="", "PRECO_VAZIA", ""),
  IF(G34="", "CLIENTE_VAZIA", ""),
  IF(H34="", "PRODUTO_VAZIA", ""),
  IF(L34="", "CIDADE_VAZIA", ""),
  IF(F34="", "DATA_VAZIA", "")
)</f>
        <v/>
      </c>
      <c r="F34" s="1" t="s">
        <v>59</v>
      </c>
      <c r="G34" t="s">
        <v>8</v>
      </c>
      <c r="H34" t="s">
        <v>15</v>
      </c>
      <c r="I34">
        <v>12</v>
      </c>
      <c r="J34" s="2" t="s">
        <v>35</v>
      </c>
      <c r="K34" s="3" t="str">
        <f t="shared" ref="K34:K65" si="8">IF(J34&gt;0, J34, "")</f>
        <v>R$ 30</v>
      </c>
      <c r="L34" t="s">
        <v>17</v>
      </c>
    </row>
    <row r="35" spans="1:12" x14ac:dyDescent="0.25">
      <c r="A35">
        <f t="shared" si="4"/>
        <v>33</v>
      </c>
      <c r="B35">
        <v>34</v>
      </c>
      <c r="C35" t="str">
        <f t="shared" si="5"/>
        <v>INCOMPLETA</v>
      </c>
      <c r="D35" t="str">
        <f t="shared" si="6"/>
        <v>ERRO</v>
      </c>
      <c r="E35" t="str">
        <f t="shared" si="7"/>
        <v>PRODUTO_VAZIA</v>
      </c>
      <c r="F35" s="1" t="s">
        <v>60</v>
      </c>
      <c r="G35" t="s">
        <v>8</v>
      </c>
      <c r="I35">
        <v>10</v>
      </c>
      <c r="J35" s="2">
        <v>466.56</v>
      </c>
      <c r="K35" s="3">
        <f t="shared" si="8"/>
        <v>466.56</v>
      </c>
      <c r="L35" t="s">
        <v>13</v>
      </c>
    </row>
    <row r="36" spans="1:12" x14ac:dyDescent="0.25">
      <c r="A36">
        <f t="shared" si="4"/>
        <v>34</v>
      </c>
      <c r="B36">
        <v>35</v>
      </c>
      <c r="C36" t="str">
        <f t="shared" si="5"/>
        <v>INCOMPLETA</v>
      </c>
      <c r="D36" t="str">
        <f t="shared" si="6"/>
        <v>ERRO</v>
      </c>
      <c r="E36" t="str">
        <f t="shared" si="7"/>
        <v>QUANTIDADE_VAZIA; CLIENTE_VAZIA</v>
      </c>
      <c r="F36" s="1" t="s">
        <v>61</v>
      </c>
      <c r="H36" t="s">
        <v>15</v>
      </c>
      <c r="I36">
        <v>10</v>
      </c>
      <c r="J36" s="2" t="s">
        <v>35</v>
      </c>
      <c r="K36" s="3" t="str">
        <f t="shared" si="8"/>
        <v>R$ 30</v>
      </c>
      <c r="L36" t="s">
        <v>13</v>
      </c>
    </row>
    <row r="37" spans="1:12" x14ac:dyDescent="0.25">
      <c r="A37">
        <f t="shared" si="4"/>
        <v>35</v>
      </c>
      <c r="B37">
        <v>36</v>
      </c>
      <c r="C37" t="str">
        <f t="shared" si="5"/>
        <v>INCOMPLETA</v>
      </c>
      <c r="D37" t="str">
        <f t="shared" si="6"/>
        <v>ERRO</v>
      </c>
      <c r="E37" t="str">
        <f t="shared" si="7"/>
        <v>QUANTIDADE_VAZIA; PRECO_VAZIA; CLIENTE_VAZIA</v>
      </c>
      <c r="F37" s="1" t="s">
        <v>62</v>
      </c>
      <c r="H37" t="s">
        <v>31</v>
      </c>
      <c r="I37">
        <v>9</v>
      </c>
      <c r="J37" s="2">
        <v>-10</v>
      </c>
      <c r="K37" s="3" t="str">
        <f t="shared" si="8"/>
        <v/>
      </c>
      <c r="L37" t="s">
        <v>17</v>
      </c>
    </row>
    <row r="38" spans="1:12" x14ac:dyDescent="0.25">
      <c r="A38">
        <f t="shared" si="4"/>
        <v>36</v>
      </c>
      <c r="B38">
        <v>39</v>
      </c>
      <c r="C38" t="str">
        <f t="shared" si="5"/>
        <v>INCOMPLETA</v>
      </c>
      <c r="D38" t="str">
        <f t="shared" si="6"/>
        <v>ERRO</v>
      </c>
      <c r="E38" t="str">
        <f t="shared" si="7"/>
        <v/>
      </c>
      <c r="F38" s="1" t="s">
        <v>64</v>
      </c>
      <c r="G38" t="s">
        <v>8</v>
      </c>
      <c r="H38" t="s">
        <v>37</v>
      </c>
      <c r="J38" s="2">
        <v>344.21</v>
      </c>
      <c r="K38" s="3">
        <f t="shared" si="8"/>
        <v>344.21</v>
      </c>
      <c r="L38" t="s">
        <v>17</v>
      </c>
    </row>
    <row r="39" spans="1:12" x14ac:dyDescent="0.25">
      <c r="A39">
        <f t="shared" si="4"/>
        <v>37</v>
      </c>
      <c r="B39">
        <v>40</v>
      </c>
      <c r="C39" t="str">
        <f t="shared" si="5"/>
        <v>INCOMPLETA</v>
      </c>
      <c r="D39" t="str">
        <f t="shared" si="6"/>
        <v>ERRO</v>
      </c>
      <c r="E39" t="str">
        <f t="shared" si="7"/>
        <v>QUANTIDADE_VAZIA; PRECO_VAZIA; CLIENTE_VAZIA</v>
      </c>
      <c r="F39" s="1" t="s">
        <v>65</v>
      </c>
      <c r="H39" t="s">
        <v>15</v>
      </c>
      <c r="J39" s="2"/>
      <c r="K39" s="3" t="str">
        <f t="shared" si="8"/>
        <v/>
      </c>
      <c r="L39" t="s">
        <v>49</v>
      </c>
    </row>
    <row r="40" spans="1:12" x14ac:dyDescent="0.25">
      <c r="A40">
        <f t="shared" si="4"/>
        <v>38</v>
      </c>
      <c r="B40">
        <v>42</v>
      </c>
      <c r="C40" t="str">
        <f t="shared" si="5"/>
        <v>INCOMPLETA</v>
      </c>
      <c r="D40" t="str">
        <f t="shared" si="6"/>
        <v>ERRO</v>
      </c>
      <c r="E40" t="str">
        <f t="shared" si="7"/>
        <v>PRECO_VAZIA</v>
      </c>
      <c r="F40" s="1" t="s">
        <v>67</v>
      </c>
      <c r="G40" t="s">
        <v>26</v>
      </c>
      <c r="H40" t="s">
        <v>9</v>
      </c>
      <c r="I40">
        <v>10</v>
      </c>
      <c r="K40" s="3" t="str">
        <f t="shared" si="8"/>
        <v/>
      </c>
      <c r="L40" t="s">
        <v>13</v>
      </c>
    </row>
    <row r="41" spans="1:12" x14ac:dyDescent="0.25">
      <c r="A41">
        <f t="shared" si="4"/>
        <v>39</v>
      </c>
      <c r="B41">
        <v>44</v>
      </c>
      <c r="C41" t="str">
        <f t="shared" si="5"/>
        <v>COMPLETA</v>
      </c>
      <c r="D41" t="str">
        <f t="shared" si="6"/>
        <v>OK</v>
      </c>
      <c r="E41" t="str">
        <f t="shared" si="7"/>
        <v/>
      </c>
      <c r="F41" s="1" t="s">
        <v>69</v>
      </c>
      <c r="G41" t="s">
        <v>8</v>
      </c>
      <c r="H41" t="s">
        <v>37</v>
      </c>
      <c r="I41">
        <v>10</v>
      </c>
      <c r="J41" s="2">
        <v>30</v>
      </c>
      <c r="K41" s="3">
        <f t="shared" si="8"/>
        <v>30</v>
      </c>
      <c r="L41" t="s">
        <v>21</v>
      </c>
    </row>
    <row r="42" spans="1:12" x14ac:dyDescent="0.25">
      <c r="A42">
        <f t="shared" si="4"/>
        <v>40</v>
      </c>
      <c r="B42">
        <v>45</v>
      </c>
      <c r="C42" t="str">
        <f t="shared" si="5"/>
        <v>INCOMPLETA</v>
      </c>
      <c r="D42" t="str">
        <f t="shared" si="6"/>
        <v>ERRO</v>
      </c>
      <c r="E42" t="str">
        <f t="shared" si="7"/>
        <v>PRECO_VAZIA</v>
      </c>
      <c r="F42" s="1" t="s">
        <v>70</v>
      </c>
      <c r="G42" t="s">
        <v>8</v>
      </c>
      <c r="H42" t="s">
        <v>19</v>
      </c>
      <c r="I42">
        <v>14</v>
      </c>
      <c r="J42" s="2"/>
      <c r="K42" s="3" t="str">
        <f t="shared" si="8"/>
        <v/>
      </c>
      <c r="L42" t="s">
        <v>17</v>
      </c>
    </row>
    <row r="43" spans="1:12" x14ac:dyDescent="0.25">
      <c r="A43">
        <f t="shared" si="4"/>
        <v>41</v>
      </c>
      <c r="B43">
        <v>47</v>
      </c>
      <c r="C43" t="str">
        <f t="shared" si="5"/>
        <v>INCOMPLETA</v>
      </c>
      <c r="D43" t="str">
        <f t="shared" si="6"/>
        <v>ERRO</v>
      </c>
      <c r="E43" t="str">
        <f t="shared" si="7"/>
        <v>QUANTIDADE_NEGATIVA; PRODUTO_VAZIA</v>
      </c>
      <c r="F43" s="1" t="s">
        <v>71</v>
      </c>
      <c r="G43" t="s">
        <v>8</v>
      </c>
      <c r="I43">
        <v>-3</v>
      </c>
      <c r="J43" s="2" t="s">
        <v>35</v>
      </c>
      <c r="K43" s="3" t="str">
        <f t="shared" si="8"/>
        <v>R$ 30</v>
      </c>
      <c r="L43" t="s">
        <v>10</v>
      </c>
    </row>
    <row r="44" spans="1:12" x14ac:dyDescent="0.25">
      <c r="A44">
        <f t="shared" si="4"/>
        <v>42</v>
      </c>
      <c r="B44">
        <v>48</v>
      </c>
      <c r="C44" t="str">
        <f t="shared" si="5"/>
        <v>COMPLETA</v>
      </c>
      <c r="D44" t="str">
        <f t="shared" si="6"/>
        <v>OK</v>
      </c>
      <c r="E44" t="str">
        <f t="shared" si="7"/>
        <v/>
      </c>
      <c r="F44" t="s">
        <v>72</v>
      </c>
      <c r="G44" t="s">
        <v>33</v>
      </c>
      <c r="H44" t="s">
        <v>15</v>
      </c>
      <c r="I44">
        <v>10</v>
      </c>
      <c r="J44">
        <v>208.98</v>
      </c>
      <c r="K44" s="3">
        <f t="shared" si="8"/>
        <v>208.98</v>
      </c>
      <c r="L44" t="s">
        <v>17</v>
      </c>
    </row>
    <row r="45" spans="1:12" x14ac:dyDescent="0.25">
      <c r="A45">
        <f t="shared" si="4"/>
        <v>43</v>
      </c>
      <c r="B45">
        <v>48</v>
      </c>
      <c r="C45" t="str">
        <f t="shared" si="5"/>
        <v>INCOMPLETA</v>
      </c>
      <c r="D45" t="str">
        <f t="shared" si="6"/>
        <v>ERRO</v>
      </c>
      <c r="E45" t="str">
        <f t="shared" si="7"/>
        <v>PRECO_VAZIA</v>
      </c>
      <c r="F45" s="1" t="s">
        <v>90</v>
      </c>
      <c r="G45" t="s">
        <v>26</v>
      </c>
      <c r="H45" t="s">
        <v>47</v>
      </c>
      <c r="J45" s="2">
        <v>-10</v>
      </c>
      <c r="K45" s="3" t="str">
        <f t="shared" si="8"/>
        <v/>
      </c>
      <c r="L45" t="s">
        <v>49</v>
      </c>
    </row>
    <row r="46" spans="1:12" x14ac:dyDescent="0.25">
      <c r="A46">
        <f t="shared" si="4"/>
        <v>44</v>
      </c>
      <c r="B46">
        <v>49</v>
      </c>
      <c r="C46" t="str">
        <f t="shared" si="5"/>
        <v>INCOMPLETA</v>
      </c>
      <c r="D46" t="str">
        <f t="shared" si="6"/>
        <v>ERRO</v>
      </c>
      <c r="E46" t="str">
        <f t="shared" si="7"/>
        <v>PRECO_VAZIA; CIDADE_VAZIA</v>
      </c>
      <c r="F46" s="1" t="s">
        <v>68</v>
      </c>
      <c r="G46" t="s">
        <v>8</v>
      </c>
      <c r="H46" t="s">
        <v>53</v>
      </c>
      <c r="I46">
        <v>10</v>
      </c>
      <c r="J46" s="2">
        <v>-10</v>
      </c>
      <c r="K46" s="3" t="str">
        <f t="shared" si="8"/>
        <v/>
      </c>
    </row>
    <row r="47" spans="1:12" x14ac:dyDescent="0.25">
      <c r="A47">
        <f t="shared" si="4"/>
        <v>45</v>
      </c>
      <c r="B47">
        <v>49</v>
      </c>
      <c r="C47" t="str">
        <f t="shared" si="5"/>
        <v>INCOMPLETA</v>
      </c>
      <c r="D47" t="str">
        <f t="shared" si="6"/>
        <v>ERRO</v>
      </c>
      <c r="E47" t="str">
        <f t="shared" si="7"/>
        <v>QUANTIDADE_VAZIA; QUANTIDADE_NEGATIVA; PRECO_VAZIA; CLIENTE_VAZIA</v>
      </c>
      <c r="F47" s="1" t="s">
        <v>73</v>
      </c>
      <c r="H47" t="s">
        <v>19</v>
      </c>
      <c r="I47">
        <v>-3</v>
      </c>
      <c r="J47" s="2"/>
      <c r="K47" s="3" t="str">
        <f t="shared" si="8"/>
        <v/>
      </c>
      <c r="L47" t="s">
        <v>10</v>
      </c>
    </row>
    <row r="48" spans="1:12" x14ac:dyDescent="0.25">
      <c r="A48">
        <f t="shared" si="4"/>
        <v>46</v>
      </c>
      <c r="B48">
        <v>50</v>
      </c>
      <c r="C48" t="str">
        <f t="shared" si="5"/>
        <v>INCOMPLETA</v>
      </c>
      <c r="D48" t="str">
        <f t="shared" si="6"/>
        <v>ERRO</v>
      </c>
      <c r="E48" t="str">
        <f t="shared" si="7"/>
        <v>PRECO_VAZIA; CIDADE_VAZIA</v>
      </c>
      <c r="F48" s="1" t="s">
        <v>74</v>
      </c>
      <c r="G48" t="s">
        <v>26</v>
      </c>
      <c r="H48" t="s">
        <v>23</v>
      </c>
      <c r="I48">
        <v>10</v>
      </c>
      <c r="J48" s="2"/>
      <c r="K48" s="3" t="str">
        <f t="shared" si="8"/>
        <v/>
      </c>
    </row>
    <row r="49" spans="1:12" x14ac:dyDescent="0.25">
      <c r="A49">
        <f t="shared" si="4"/>
        <v>47</v>
      </c>
      <c r="B49">
        <v>51</v>
      </c>
      <c r="C49" t="str">
        <f t="shared" si="5"/>
        <v>INCOMPLETA</v>
      </c>
      <c r="D49" t="str">
        <f t="shared" si="6"/>
        <v>ERRO</v>
      </c>
      <c r="E49" t="str">
        <f t="shared" si="7"/>
        <v/>
      </c>
      <c r="F49" s="1" t="s">
        <v>75</v>
      </c>
      <c r="G49" t="s">
        <v>26</v>
      </c>
      <c r="H49" t="s">
        <v>37</v>
      </c>
      <c r="J49" s="2">
        <v>492.13</v>
      </c>
      <c r="K49" s="3">
        <f t="shared" si="8"/>
        <v>492.13</v>
      </c>
      <c r="L49" t="s">
        <v>49</v>
      </c>
    </row>
    <row r="50" spans="1:12" x14ac:dyDescent="0.25">
      <c r="A50">
        <f t="shared" si="4"/>
        <v>48</v>
      </c>
      <c r="B50">
        <v>52</v>
      </c>
      <c r="C50" t="str">
        <f t="shared" si="5"/>
        <v>INCOMPLETA</v>
      </c>
      <c r="D50" t="str">
        <f t="shared" si="6"/>
        <v>ERRO</v>
      </c>
      <c r="E50" t="str">
        <f t="shared" si="7"/>
        <v>QUANTIDADE_VAZIA; QUANTIDADE_NEGATIVA; PRECO_VAZIA; CLIENTE_VAZIA; CIDADE_VAZIA</v>
      </c>
      <c r="F50" s="1" t="s">
        <v>76</v>
      </c>
      <c r="H50" t="s">
        <v>9</v>
      </c>
      <c r="I50">
        <v>-3</v>
      </c>
      <c r="J50" s="2"/>
      <c r="K50" s="3" t="str">
        <f t="shared" si="8"/>
        <v/>
      </c>
    </row>
    <row r="51" spans="1:12" x14ac:dyDescent="0.25">
      <c r="A51">
        <f t="shared" si="4"/>
        <v>49</v>
      </c>
      <c r="B51">
        <v>53</v>
      </c>
      <c r="C51" t="str">
        <f t="shared" si="5"/>
        <v>INCOMPLETA</v>
      </c>
      <c r="D51" t="str">
        <f t="shared" si="6"/>
        <v>ERRO</v>
      </c>
      <c r="E51" t="str">
        <f t="shared" si="7"/>
        <v>PRECO_VAZIA</v>
      </c>
      <c r="F51" s="1" t="s">
        <v>77</v>
      </c>
      <c r="G51" t="s">
        <v>12</v>
      </c>
      <c r="H51" t="s">
        <v>47</v>
      </c>
      <c r="J51" s="2">
        <v>-10</v>
      </c>
      <c r="K51" s="3" t="str">
        <f t="shared" si="8"/>
        <v/>
      </c>
      <c r="L51" t="s">
        <v>21</v>
      </c>
    </row>
    <row r="52" spans="1:12" x14ac:dyDescent="0.25">
      <c r="A52">
        <f t="shared" si="4"/>
        <v>50</v>
      </c>
      <c r="B52">
        <v>54</v>
      </c>
      <c r="C52" t="str">
        <f t="shared" si="5"/>
        <v>INCOMPLETA</v>
      </c>
      <c r="D52" t="str">
        <f t="shared" si="6"/>
        <v>ERRO</v>
      </c>
      <c r="E52" t="str">
        <f t="shared" si="7"/>
        <v>PRECO_VAZIA</v>
      </c>
      <c r="F52" s="1" t="s">
        <v>71</v>
      </c>
      <c r="G52" t="s">
        <v>33</v>
      </c>
      <c r="H52" t="s">
        <v>15</v>
      </c>
      <c r="I52">
        <v>10</v>
      </c>
      <c r="J52" s="2">
        <v>-10</v>
      </c>
      <c r="K52" s="3" t="str">
        <f t="shared" si="8"/>
        <v/>
      </c>
      <c r="L52" t="s">
        <v>10</v>
      </c>
    </row>
    <row r="53" spans="1:12" x14ac:dyDescent="0.25">
      <c r="A53">
        <f t="shared" si="4"/>
        <v>51</v>
      </c>
      <c r="B53">
        <v>54</v>
      </c>
      <c r="C53" t="str">
        <f t="shared" si="5"/>
        <v>INCOMPLETA</v>
      </c>
      <c r="D53" t="str">
        <f t="shared" si="6"/>
        <v>ERRO</v>
      </c>
      <c r="E53" t="str">
        <f t="shared" si="7"/>
        <v>QUANTIDADE_VAZIA; PRECO_VAZIA; CLIENTE_VAZIA</v>
      </c>
      <c r="F53" s="1" t="s">
        <v>124</v>
      </c>
      <c r="H53" t="s">
        <v>37</v>
      </c>
      <c r="I53">
        <v>10</v>
      </c>
      <c r="J53" s="2"/>
      <c r="K53" s="3" t="str">
        <f t="shared" si="8"/>
        <v/>
      </c>
      <c r="L53" t="s">
        <v>10</v>
      </c>
    </row>
    <row r="54" spans="1:12" x14ac:dyDescent="0.25">
      <c r="A54">
        <f t="shared" si="4"/>
        <v>52</v>
      </c>
      <c r="B54">
        <v>55</v>
      </c>
      <c r="C54" t="str">
        <f t="shared" si="5"/>
        <v>INCOMPLETA</v>
      </c>
      <c r="D54" t="str">
        <f t="shared" si="6"/>
        <v>ERRO</v>
      </c>
      <c r="E54" t="str">
        <f t="shared" si="7"/>
        <v>PRECO_VAZIA; PRODUTO_VAZIA</v>
      </c>
      <c r="F54" s="1" t="s">
        <v>59</v>
      </c>
      <c r="G54" t="s">
        <v>33</v>
      </c>
      <c r="J54" s="2">
        <v>-10</v>
      </c>
      <c r="K54" s="3" t="str">
        <f t="shared" si="8"/>
        <v/>
      </c>
      <c r="L54" t="s">
        <v>49</v>
      </c>
    </row>
    <row r="55" spans="1:12" x14ac:dyDescent="0.25">
      <c r="A55">
        <f t="shared" si="4"/>
        <v>53</v>
      </c>
      <c r="B55">
        <v>56</v>
      </c>
      <c r="C55" t="str">
        <f t="shared" si="5"/>
        <v>INCOMPLETA</v>
      </c>
      <c r="D55" t="str">
        <f t="shared" si="6"/>
        <v>ERRO</v>
      </c>
      <c r="E55" t="str">
        <f t="shared" si="7"/>
        <v>PRODUTO_VAZIA; CIDADE_VAZIA</v>
      </c>
      <c r="F55" s="1" t="s">
        <v>29</v>
      </c>
      <c r="G55" t="s">
        <v>8</v>
      </c>
      <c r="J55" s="2">
        <v>144.55000000000001</v>
      </c>
      <c r="K55" s="3">
        <f t="shared" si="8"/>
        <v>144.55000000000001</v>
      </c>
    </row>
    <row r="56" spans="1:12" x14ac:dyDescent="0.25">
      <c r="A56">
        <f t="shared" si="4"/>
        <v>54</v>
      </c>
      <c r="B56">
        <v>56</v>
      </c>
      <c r="C56" t="str">
        <f t="shared" si="5"/>
        <v>COMPLETA</v>
      </c>
      <c r="D56" t="str">
        <f t="shared" si="6"/>
        <v>ERRO</v>
      </c>
      <c r="E56" t="str">
        <f t="shared" si="7"/>
        <v/>
      </c>
      <c r="F56" s="1" t="s">
        <v>128</v>
      </c>
      <c r="G56" t="s">
        <v>8</v>
      </c>
      <c r="H56" t="s">
        <v>37</v>
      </c>
      <c r="I56">
        <v>14</v>
      </c>
      <c r="J56" s="2" t="s">
        <v>35</v>
      </c>
      <c r="K56" s="3" t="str">
        <f t="shared" si="8"/>
        <v>R$ 30</v>
      </c>
      <c r="L56" t="s">
        <v>13</v>
      </c>
    </row>
    <row r="57" spans="1:12" x14ac:dyDescent="0.25">
      <c r="A57">
        <f t="shared" si="4"/>
        <v>55</v>
      </c>
      <c r="B57">
        <v>57</v>
      </c>
      <c r="C57" t="str">
        <f t="shared" si="5"/>
        <v>INCOMPLETA</v>
      </c>
      <c r="D57" t="str">
        <f t="shared" si="6"/>
        <v>ERRO</v>
      </c>
      <c r="E57" t="str">
        <f t="shared" si="7"/>
        <v>PRECO_VAZIA</v>
      </c>
      <c r="F57" s="1" t="s">
        <v>78</v>
      </c>
      <c r="G57" t="s">
        <v>8</v>
      </c>
      <c r="H57" t="s">
        <v>19</v>
      </c>
      <c r="I57">
        <v>18</v>
      </c>
      <c r="J57" s="2"/>
      <c r="K57" s="3" t="str">
        <f t="shared" si="8"/>
        <v/>
      </c>
      <c r="L57" t="s">
        <v>49</v>
      </c>
    </row>
    <row r="58" spans="1:12" x14ac:dyDescent="0.25">
      <c r="A58">
        <f t="shared" si="4"/>
        <v>56</v>
      </c>
      <c r="B58">
        <v>58</v>
      </c>
      <c r="C58" t="str">
        <f t="shared" si="5"/>
        <v>INCOMPLETA</v>
      </c>
      <c r="D58" t="str">
        <f t="shared" si="6"/>
        <v>ERRO</v>
      </c>
      <c r="E58" t="str">
        <f t="shared" si="7"/>
        <v>QUANTIDADE_NEGATIVA; PRECO_VAZIA</v>
      </c>
      <c r="F58" s="1" t="s">
        <v>79</v>
      </c>
      <c r="G58" t="s">
        <v>26</v>
      </c>
      <c r="H58" t="s">
        <v>23</v>
      </c>
      <c r="I58">
        <v>-3</v>
      </c>
      <c r="J58" s="2">
        <v>-10</v>
      </c>
      <c r="K58" s="3" t="str">
        <f t="shared" si="8"/>
        <v/>
      </c>
      <c r="L58" t="s">
        <v>49</v>
      </c>
    </row>
    <row r="59" spans="1:12" x14ac:dyDescent="0.25">
      <c r="A59">
        <f t="shared" si="4"/>
        <v>57</v>
      </c>
      <c r="B59">
        <v>60</v>
      </c>
      <c r="C59" t="str">
        <f t="shared" si="5"/>
        <v>INCOMPLETA</v>
      </c>
      <c r="D59" t="str">
        <f t="shared" si="6"/>
        <v>ERRO</v>
      </c>
      <c r="E59" t="str">
        <f t="shared" si="7"/>
        <v>PRECO_VAZIA; CIDADE_VAZIA</v>
      </c>
      <c r="F59" s="1" t="s">
        <v>56</v>
      </c>
      <c r="G59" t="s">
        <v>12</v>
      </c>
      <c r="H59" t="s">
        <v>9</v>
      </c>
      <c r="I59">
        <v>19</v>
      </c>
      <c r="J59" s="2">
        <v>-10</v>
      </c>
      <c r="K59" s="3" t="str">
        <f t="shared" si="8"/>
        <v/>
      </c>
    </row>
    <row r="60" spans="1:12" x14ac:dyDescent="0.25">
      <c r="A60">
        <f t="shared" si="4"/>
        <v>58</v>
      </c>
      <c r="B60">
        <v>60</v>
      </c>
      <c r="C60" t="str">
        <f t="shared" si="5"/>
        <v>INCOMPLETA</v>
      </c>
      <c r="D60" t="str">
        <f t="shared" si="6"/>
        <v>ERRO</v>
      </c>
      <c r="E60" t="str">
        <f t="shared" si="7"/>
        <v>QUANTIDADE_VAZIA; CLIENTE_VAZIA; PRODUTO_VAZIA</v>
      </c>
      <c r="F60" s="1" t="s">
        <v>72</v>
      </c>
      <c r="J60" s="2">
        <v>30</v>
      </c>
      <c r="K60" s="3">
        <f t="shared" si="8"/>
        <v>30</v>
      </c>
      <c r="L60" t="s">
        <v>49</v>
      </c>
    </row>
    <row r="61" spans="1:12" x14ac:dyDescent="0.25">
      <c r="A61">
        <f t="shared" si="4"/>
        <v>59</v>
      </c>
      <c r="B61">
        <v>61</v>
      </c>
      <c r="C61" t="str">
        <f t="shared" si="5"/>
        <v>COMPLETA</v>
      </c>
      <c r="D61" t="str">
        <f t="shared" si="6"/>
        <v>ERRO</v>
      </c>
      <c r="E61" t="str">
        <f t="shared" si="7"/>
        <v>QUANTIDADE_NEGATIVA</v>
      </c>
      <c r="F61" s="1" t="s">
        <v>80</v>
      </c>
      <c r="G61" t="s">
        <v>8</v>
      </c>
      <c r="H61" t="s">
        <v>47</v>
      </c>
      <c r="I61">
        <v>-3</v>
      </c>
      <c r="J61" s="2">
        <v>460.58</v>
      </c>
      <c r="K61" s="3">
        <f t="shared" si="8"/>
        <v>460.58</v>
      </c>
      <c r="L61" t="s">
        <v>49</v>
      </c>
    </row>
    <row r="62" spans="1:12" x14ac:dyDescent="0.25">
      <c r="A62">
        <f t="shared" si="4"/>
        <v>60</v>
      </c>
      <c r="B62">
        <v>62</v>
      </c>
      <c r="C62" t="str">
        <f t="shared" si="5"/>
        <v>INCOMPLETA</v>
      </c>
      <c r="D62" t="str">
        <f t="shared" si="6"/>
        <v>ERRO</v>
      </c>
      <c r="E62" t="str">
        <f t="shared" si="7"/>
        <v>PRECO_VAZIA</v>
      </c>
      <c r="F62" s="1" t="s">
        <v>81</v>
      </c>
      <c r="G62" t="s">
        <v>12</v>
      </c>
      <c r="H62" t="s">
        <v>23</v>
      </c>
      <c r="J62" s="2"/>
      <c r="K62" s="3" t="str">
        <f t="shared" si="8"/>
        <v/>
      </c>
      <c r="L62" t="s">
        <v>21</v>
      </c>
    </row>
    <row r="63" spans="1:12" x14ac:dyDescent="0.25">
      <c r="A63">
        <f t="shared" si="4"/>
        <v>61</v>
      </c>
      <c r="B63">
        <v>63</v>
      </c>
      <c r="C63" t="str">
        <f t="shared" si="5"/>
        <v>INCOMPLETA</v>
      </c>
      <c r="D63" t="str">
        <f t="shared" si="6"/>
        <v>ERRO</v>
      </c>
      <c r="E63" t="str">
        <f t="shared" si="7"/>
        <v>PRECO_VAZIA</v>
      </c>
      <c r="F63" s="1" t="s">
        <v>82</v>
      </c>
      <c r="G63" t="s">
        <v>26</v>
      </c>
      <c r="H63" t="s">
        <v>31</v>
      </c>
      <c r="I63">
        <v>10</v>
      </c>
      <c r="J63" s="2">
        <v>-10</v>
      </c>
      <c r="K63" s="3" t="str">
        <f t="shared" si="8"/>
        <v/>
      </c>
      <c r="L63" t="s">
        <v>17</v>
      </c>
    </row>
    <row r="64" spans="1:12" x14ac:dyDescent="0.25">
      <c r="A64">
        <f t="shared" si="4"/>
        <v>62</v>
      </c>
      <c r="B64">
        <v>64</v>
      </c>
      <c r="C64" t="str">
        <f t="shared" si="5"/>
        <v>COMPLETA</v>
      </c>
      <c r="D64" t="str">
        <f t="shared" si="6"/>
        <v>OK</v>
      </c>
      <c r="E64" t="str">
        <f t="shared" si="7"/>
        <v/>
      </c>
      <c r="F64" t="s">
        <v>72</v>
      </c>
      <c r="G64" t="s">
        <v>8</v>
      </c>
      <c r="H64" t="s">
        <v>23</v>
      </c>
      <c r="I64">
        <v>16</v>
      </c>
      <c r="J64">
        <v>377.02</v>
      </c>
      <c r="K64" s="3">
        <f t="shared" si="8"/>
        <v>377.02</v>
      </c>
      <c r="L64" t="s">
        <v>17</v>
      </c>
    </row>
    <row r="65" spans="1:12" x14ac:dyDescent="0.25">
      <c r="A65">
        <f t="shared" si="4"/>
        <v>63</v>
      </c>
      <c r="B65">
        <v>65</v>
      </c>
      <c r="C65" t="str">
        <f t="shared" si="5"/>
        <v>INCOMPLETA</v>
      </c>
      <c r="D65" t="str">
        <f t="shared" si="6"/>
        <v>ERRO</v>
      </c>
      <c r="E65" t="str">
        <f t="shared" si="7"/>
        <v>PRECO_VAZIA</v>
      </c>
      <c r="F65" s="1" t="s">
        <v>40</v>
      </c>
      <c r="G65" t="s">
        <v>12</v>
      </c>
      <c r="H65" t="s">
        <v>37</v>
      </c>
      <c r="J65" s="2"/>
      <c r="K65" s="3" t="str">
        <f t="shared" si="8"/>
        <v/>
      </c>
      <c r="L65" t="s">
        <v>13</v>
      </c>
    </row>
    <row r="66" spans="1:12" x14ac:dyDescent="0.25">
      <c r="A66">
        <f t="shared" si="4"/>
        <v>64</v>
      </c>
      <c r="B66">
        <v>66</v>
      </c>
      <c r="C66" t="str">
        <f t="shared" ref="C66:C97" si="9">IF(AND(B66&lt;&gt;"",F66&lt;&gt;"",G66&lt;&gt;"",H66&lt;&gt;"",I66&lt;&gt;"",K66&lt;&gt;"",L66&lt;&gt;""),"COMPLETA","INCOMPLETA")</f>
        <v>INCOMPLETA</v>
      </c>
      <c r="D66" t="str">
        <f t="shared" ref="D66:D97" si="10">IF(AND(C66="COMPLETA", ISNUMBER(I66), I66&gt;0, ISNUMBER(K66), K66&gt;0), "OK", "ERRO")</f>
        <v>ERRO</v>
      </c>
      <c r="E66" t="str">
        <f t="shared" ref="E66:E97" si="11">_xlfn.TEXTJOIN("; ", TRUE,
  IF(G66="", "QUANTIDADE_VAZIA", ""),
  IF(AND(ISNUMBER(I66), I66&lt;0), "QUANTIDADE_NEGATIVA", ""),
  IF(K66="", "PRECO_VAZIA", ""),
  IF(G66="", "CLIENTE_VAZIA", ""),
  IF(H66="", "PRODUTO_VAZIA", ""),
  IF(L66="", "CIDADE_VAZIA", ""),
  IF(F66="", "DATA_VAZIA", "")
)</f>
        <v>PRECO_VAZIA</v>
      </c>
      <c r="F66" s="1" t="s">
        <v>83</v>
      </c>
      <c r="G66" t="s">
        <v>12</v>
      </c>
      <c r="H66" t="s">
        <v>9</v>
      </c>
      <c r="I66">
        <v>10</v>
      </c>
      <c r="J66" s="2"/>
      <c r="K66" s="3" t="str">
        <f t="shared" ref="K66:K97" si="12">IF(J66&gt;0, J66, "")</f>
        <v/>
      </c>
      <c r="L66" t="s">
        <v>10</v>
      </c>
    </row>
    <row r="67" spans="1:12" x14ac:dyDescent="0.25">
      <c r="A67">
        <f t="shared" ref="A67:A130" si="13">ROW() -2</f>
        <v>65</v>
      </c>
      <c r="B67">
        <v>67</v>
      </c>
      <c r="C67" t="str">
        <f t="shared" si="9"/>
        <v>COMPLETA</v>
      </c>
      <c r="D67" t="str">
        <f t="shared" si="10"/>
        <v>ERRO</v>
      </c>
      <c r="E67" t="str">
        <f t="shared" si="11"/>
        <v/>
      </c>
      <c r="F67" s="1" t="s">
        <v>84</v>
      </c>
      <c r="G67" t="s">
        <v>12</v>
      </c>
      <c r="H67" t="s">
        <v>15</v>
      </c>
      <c r="I67">
        <v>10</v>
      </c>
      <c r="J67" s="2" t="s">
        <v>35</v>
      </c>
      <c r="K67" s="3" t="str">
        <f t="shared" si="12"/>
        <v>R$ 30</v>
      </c>
      <c r="L67" t="s">
        <v>10</v>
      </c>
    </row>
    <row r="68" spans="1:12" x14ac:dyDescent="0.25">
      <c r="A68">
        <f t="shared" si="13"/>
        <v>66</v>
      </c>
      <c r="B68">
        <v>68</v>
      </c>
      <c r="C68" t="str">
        <f t="shared" si="9"/>
        <v>INCOMPLETA</v>
      </c>
      <c r="D68" t="str">
        <f t="shared" si="10"/>
        <v>ERRO</v>
      </c>
      <c r="E68" t="str">
        <f t="shared" si="11"/>
        <v>CIDADE_VAZIA</v>
      </c>
      <c r="F68" s="1" t="s">
        <v>20</v>
      </c>
      <c r="G68" t="s">
        <v>33</v>
      </c>
      <c r="H68" t="s">
        <v>9</v>
      </c>
      <c r="J68" s="2" t="s">
        <v>35</v>
      </c>
      <c r="K68" s="3" t="str">
        <f t="shared" si="12"/>
        <v>R$ 30</v>
      </c>
    </row>
    <row r="69" spans="1:12" x14ac:dyDescent="0.25">
      <c r="A69">
        <f t="shared" si="13"/>
        <v>67</v>
      </c>
      <c r="B69">
        <v>69</v>
      </c>
      <c r="C69" t="str">
        <f t="shared" si="9"/>
        <v>INCOMPLETA</v>
      </c>
      <c r="D69" t="str">
        <f t="shared" si="10"/>
        <v>ERRO</v>
      </c>
      <c r="E69" t="str">
        <f t="shared" si="11"/>
        <v>QUANTIDADE_VAZIA; QUANTIDADE_NEGATIVA; CLIENTE_VAZIA</v>
      </c>
      <c r="F69" s="1" t="s">
        <v>85</v>
      </c>
      <c r="H69" t="s">
        <v>37</v>
      </c>
      <c r="I69">
        <v>-3</v>
      </c>
      <c r="J69" s="2">
        <v>334.15</v>
      </c>
      <c r="K69" s="3">
        <f t="shared" si="12"/>
        <v>334.15</v>
      </c>
      <c r="L69" t="s">
        <v>10</v>
      </c>
    </row>
    <row r="70" spans="1:12" x14ac:dyDescent="0.25">
      <c r="A70">
        <f t="shared" si="13"/>
        <v>68</v>
      </c>
      <c r="B70">
        <v>70</v>
      </c>
      <c r="C70" t="str">
        <f t="shared" si="9"/>
        <v>INCOMPLETA</v>
      </c>
      <c r="D70" t="str">
        <f t="shared" si="10"/>
        <v>ERRO</v>
      </c>
      <c r="E70" t="str">
        <f t="shared" si="11"/>
        <v>QUANTIDADE_NEGATIVA; PRECO_VAZIA; CIDADE_VAZIA</v>
      </c>
      <c r="F70" s="1" t="s">
        <v>86</v>
      </c>
      <c r="G70" t="s">
        <v>33</v>
      </c>
      <c r="H70" t="s">
        <v>31</v>
      </c>
      <c r="I70">
        <v>-3</v>
      </c>
      <c r="J70" s="2">
        <v>-10</v>
      </c>
      <c r="K70" s="3" t="str">
        <f t="shared" si="12"/>
        <v/>
      </c>
    </row>
    <row r="71" spans="1:12" x14ac:dyDescent="0.25">
      <c r="A71">
        <f t="shared" si="13"/>
        <v>69</v>
      </c>
      <c r="B71">
        <v>71</v>
      </c>
      <c r="C71" t="str">
        <f t="shared" si="9"/>
        <v>INCOMPLETA</v>
      </c>
      <c r="D71" t="str">
        <f t="shared" si="10"/>
        <v>ERRO</v>
      </c>
      <c r="E71" t="str">
        <f t="shared" si="11"/>
        <v>QUANTIDADE_VAZIA; QUANTIDADE_NEGATIVA; CLIENTE_VAZIA</v>
      </c>
      <c r="F71" s="1" t="s">
        <v>87</v>
      </c>
      <c r="H71" t="s">
        <v>53</v>
      </c>
      <c r="I71">
        <v>-3</v>
      </c>
      <c r="J71" s="2" t="s">
        <v>35</v>
      </c>
      <c r="K71" s="3" t="str">
        <f t="shared" si="12"/>
        <v>R$ 30</v>
      </c>
      <c r="L71" t="s">
        <v>17</v>
      </c>
    </row>
    <row r="72" spans="1:12" x14ac:dyDescent="0.25">
      <c r="A72">
        <f t="shared" si="13"/>
        <v>70</v>
      </c>
      <c r="B72">
        <v>72</v>
      </c>
      <c r="C72" t="str">
        <f t="shared" si="9"/>
        <v>INCOMPLETA</v>
      </c>
      <c r="D72" t="str">
        <f t="shared" si="10"/>
        <v>ERRO</v>
      </c>
      <c r="E72" t="str">
        <f t="shared" si="11"/>
        <v>QUANTIDADE_NEGATIVA; PRECO_VAZIA</v>
      </c>
      <c r="F72" s="1" t="s">
        <v>88</v>
      </c>
      <c r="G72" t="s">
        <v>8</v>
      </c>
      <c r="H72" t="s">
        <v>31</v>
      </c>
      <c r="I72">
        <v>-3</v>
      </c>
      <c r="J72" s="2">
        <v>-10</v>
      </c>
      <c r="K72" s="3" t="str">
        <f t="shared" si="12"/>
        <v/>
      </c>
      <c r="L72" t="s">
        <v>17</v>
      </c>
    </row>
    <row r="73" spans="1:12" x14ac:dyDescent="0.25">
      <c r="A73">
        <f t="shared" si="13"/>
        <v>71</v>
      </c>
      <c r="B73">
        <v>75</v>
      </c>
      <c r="C73" t="str">
        <f t="shared" si="9"/>
        <v>INCOMPLETA</v>
      </c>
      <c r="D73" t="str">
        <f t="shared" si="10"/>
        <v>ERRO</v>
      </c>
      <c r="E73" t="str">
        <f t="shared" si="11"/>
        <v/>
      </c>
      <c r="F73" s="1" t="s">
        <v>91</v>
      </c>
      <c r="G73" t="s">
        <v>8</v>
      </c>
      <c r="H73" t="s">
        <v>9</v>
      </c>
      <c r="J73" s="2" t="s">
        <v>35</v>
      </c>
      <c r="K73" s="3" t="str">
        <f t="shared" si="12"/>
        <v>R$ 30</v>
      </c>
      <c r="L73" t="s">
        <v>49</v>
      </c>
    </row>
    <row r="74" spans="1:12" x14ac:dyDescent="0.25">
      <c r="A74">
        <f t="shared" si="13"/>
        <v>72</v>
      </c>
      <c r="B74">
        <v>76</v>
      </c>
      <c r="C74" t="str">
        <f t="shared" si="9"/>
        <v>INCOMPLETA</v>
      </c>
      <c r="D74" t="str">
        <f t="shared" si="10"/>
        <v>ERRO</v>
      </c>
      <c r="E74" t="str">
        <f t="shared" si="11"/>
        <v>PRODUTO_VAZIA</v>
      </c>
      <c r="F74" s="1" t="s">
        <v>92</v>
      </c>
      <c r="G74" t="s">
        <v>33</v>
      </c>
      <c r="I74">
        <v>10</v>
      </c>
      <c r="J74" s="2" t="s">
        <v>35</v>
      </c>
      <c r="K74" s="3" t="str">
        <f t="shared" si="12"/>
        <v>R$ 30</v>
      </c>
      <c r="L74" t="s">
        <v>17</v>
      </c>
    </row>
    <row r="75" spans="1:12" x14ac:dyDescent="0.25">
      <c r="A75">
        <f t="shared" si="13"/>
        <v>73</v>
      </c>
      <c r="B75">
        <v>77</v>
      </c>
      <c r="C75" t="str">
        <f t="shared" si="9"/>
        <v>INCOMPLETA</v>
      </c>
      <c r="D75" t="str">
        <f t="shared" si="10"/>
        <v>ERRO</v>
      </c>
      <c r="E75" t="str">
        <f t="shared" si="11"/>
        <v>PRECO_VAZIA</v>
      </c>
      <c r="F75" s="1" t="s">
        <v>85</v>
      </c>
      <c r="G75" t="s">
        <v>26</v>
      </c>
      <c r="H75" t="s">
        <v>19</v>
      </c>
      <c r="J75" s="2">
        <v>-10</v>
      </c>
      <c r="K75" s="3" t="str">
        <f t="shared" si="12"/>
        <v/>
      </c>
      <c r="L75" t="s">
        <v>17</v>
      </c>
    </row>
    <row r="76" spans="1:12" x14ac:dyDescent="0.25">
      <c r="A76">
        <f t="shared" si="13"/>
        <v>74</v>
      </c>
      <c r="B76">
        <v>78</v>
      </c>
      <c r="C76" t="str">
        <f t="shared" si="9"/>
        <v>INCOMPLETA</v>
      </c>
      <c r="D76" t="str">
        <f t="shared" si="10"/>
        <v>ERRO</v>
      </c>
      <c r="E76" t="str">
        <f t="shared" si="11"/>
        <v>QUANTIDADE_VAZIA; CLIENTE_VAZIA</v>
      </c>
      <c r="F76" s="1" t="s">
        <v>93</v>
      </c>
      <c r="H76" t="s">
        <v>53</v>
      </c>
      <c r="J76" s="2" t="s">
        <v>35</v>
      </c>
      <c r="K76" s="3" t="str">
        <f t="shared" si="12"/>
        <v>R$ 30</v>
      </c>
      <c r="L76" t="s">
        <v>13</v>
      </c>
    </row>
    <row r="77" spans="1:12" x14ac:dyDescent="0.25">
      <c r="A77">
        <f t="shared" si="13"/>
        <v>75</v>
      </c>
      <c r="B77">
        <v>79</v>
      </c>
      <c r="C77" t="str">
        <f t="shared" si="9"/>
        <v>INCOMPLETA</v>
      </c>
      <c r="D77" t="str">
        <f t="shared" si="10"/>
        <v>ERRO</v>
      </c>
      <c r="E77" t="str">
        <f t="shared" si="11"/>
        <v>QUANTIDADE_VAZIA; CLIENTE_VAZIA; CIDADE_VAZIA</v>
      </c>
      <c r="F77" s="1" t="s">
        <v>94</v>
      </c>
      <c r="H77" t="s">
        <v>15</v>
      </c>
      <c r="I77">
        <v>9</v>
      </c>
      <c r="J77" s="2" t="s">
        <v>35</v>
      </c>
      <c r="K77" s="3" t="str">
        <f t="shared" si="12"/>
        <v>R$ 30</v>
      </c>
    </row>
    <row r="78" spans="1:12" x14ac:dyDescent="0.25">
      <c r="A78">
        <f t="shared" si="13"/>
        <v>76</v>
      </c>
      <c r="B78">
        <v>80</v>
      </c>
      <c r="C78" t="str">
        <f t="shared" si="9"/>
        <v>INCOMPLETA</v>
      </c>
      <c r="D78" t="str">
        <f t="shared" si="10"/>
        <v>ERRO</v>
      </c>
      <c r="E78" t="str">
        <f t="shared" si="11"/>
        <v>PRECO_VAZIA</v>
      </c>
      <c r="F78" s="1" t="s">
        <v>38</v>
      </c>
      <c r="G78" t="s">
        <v>33</v>
      </c>
      <c r="H78" t="s">
        <v>23</v>
      </c>
      <c r="I78">
        <v>10</v>
      </c>
      <c r="J78" s="2">
        <v>-10</v>
      </c>
      <c r="K78" s="3" t="str">
        <f t="shared" si="12"/>
        <v/>
      </c>
      <c r="L78" t="s">
        <v>17</v>
      </c>
    </row>
    <row r="79" spans="1:12" x14ac:dyDescent="0.25">
      <c r="A79">
        <f t="shared" si="13"/>
        <v>77</v>
      </c>
      <c r="B79">
        <v>81</v>
      </c>
      <c r="C79" t="str">
        <f t="shared" si="9"/>
        <v>COMPLETA</v>
      </c>
      <c r="D79" t="str">
        <f t="shared" si="10"/>
        <v>OK</v>
      </c>
      <c r="E79" t="str">
        <f t="shared" si="11"/>
        <v/>
      </c>
      <c r="F79" t="s">
        <v>95</v>
      </c>
      <c r="G79" t="s">
        <v>8</v>
      </c>
      <c r="H79" t="s">
        <v>31</v>
      </c>
      <c r="I79">
        <v>4</v>
      </c>
      <c r="J79">
        <v>206.35</v>
      </c>
      <c r="K79" s="3">
        <f t="shared" si="12"/>
        <v>206.35</v>
      </c>
      <c r="L79" t="s">
        <v>10</v>
      </c>
    </row>
    <row r="80" spans="1:12" x14ac:dyDescent="0.25">
      <c r="A80">
        <f t="shared" si="13"/>
        <v>78</v>
      </c>
      <c r="B80">
        <v>82</v>
      </c>
      <c r="C80" t="str">
        <f t="shared" si="9"/>
        <v>INCOMPLETA</v>
      </c>
      <c r="D80" t="str">
        <f t="shared" si="10"/>
        <v>ERRO</v>
      </c>
      <c r="E80" t="str">
        <f t="shared" si="11"/>
        <v>PRECO_VAZIA</v>
      </c>
      <c r="F80" s="1" t="s">
        <v>95</v>
      </c>
      <c r="G80" t="s">
        <v>26</v>
      </c>
      <c r="H80" t="s">
        <v>15</v>
      </c>
      <c r="I80">
        <v>10</v>
      </c>
      <c r="J80" s="2"/>
      <c r="K80" s="3" t="str">
        <f t="shared" si="12"/>
        <v/>
      </c>
      <c r="L80" t="s">
        <v>21</v>
      </c>
    </row>
    <row r="81" spans="1:12" x14ac:dyDescent="0.25">
      <c r="A81">
        <f t="shared" si="13"/>
        <v>79</v>
      </c>
      <c r="B81">
        <v>83</v>
      </c>
      <c r="C81" t="str">
        <f t="shared" si="9"/>
        <v>COMPLETA</v>
      </c>
      <c r="D81" t="str">
        <f t="shared" si="10"/>
        <v>ERRO</v>
      </c>
      <c r="E81" t="str">
        <f t="shared" si="11"/>
        <v/>
      </c>
      <c r="F81" s="1" t="s">
        <v>89</v>
      </c>
      <c r="G81" t="s">
        <v>33</v>
      </c>
      <c r="H81" t="s">
        <v>9</v>
      </c>
      <c r="I81">
        <v>10</v>
      </c>
      <c r="J81" s="2" t="s">
        <v>35</v>
      </c>
      <c r="K81" s="3" t="str">
        <f t="shared" si="12"/>
        <v>R$ 30</v>
      </c>
      <c r="L81" t="s">
        <v>10</v>
      </c>
    </row>
    <row r="82" spans="1:12" x14ac:dyDescent="0.25">
      <c r="A82">
        <f t="shared" si="13"/>
        <v>80</v>
      </c>
      <c r="B82">
        <v>83</v>
      </c>
      <c r="C82" t="str">
        <f t="shared" si="9"/>
        <v>INCOMPLETA</v>
      </c>
      <c r="D82" t="str">
        <f t="shared" si="10"/>
        <v>ERRO</v>
      </c>
      <c r="E82" t="str">
        <f t="shared" si="11"/>
        <v>QUANTIDADE_VAZIA; QUANTIDADE_NEGATIVA; PRECO_VAZIA; CLIENTE_VAZIA</v>
      </c>
      <c r="F82" s="1" t="s">
        <v>96</v>
      </c>
      <c r="H82" t="s">
        <v>9</v>
      </c>
      <c r="I82">
        <v>-3</v>
      </c>
      <c r="J82" s="2">
        <v>-10</v>
      </c>
      <c r="K82" s="3" t="str">
        <f t="shared" si="12"/>
        <v/>
      </c>
      <c r="L82" t="s">
        <v>17</v>
      </c>
    </row>
    <row r="83" spans="1:12" x14ac:dyDescent="0.25">
      <c r="A83">
        <f t="shared" si="13"/>
        <v>81</v>
      </c>
      <c r="B83">
        <v>84</v>
      </c>
      <c r="C83" t="str">
        <f t="shared" si="9"/>
        <v>INCOMPLETA</v>
      </c>
      <c r="D83" t="str">
        <f t="shared" si="10"/>
        <v>ERRO</v>
      </c>
      <c r="E83" t="str">
        <f t="shared" si="11"/>
        <v>PRECO_VAZIA; CIDADE_VAZIA</v>
      </c>
      <c r="F83" s="1" t="s">
        <v>97</v>
      </c>
      <c r="G83" t="s">
        <v>8</v>
      </c>
      <c r="H83" t="s">
        <v>37</v>
      </c>
      <c r="I83">
        <v>20</v>
      </c>
      <c r="J83" s="2"/>
      <c r="K83" s="3" t="str">
        <f t="shared" si="12"/>
        <v/>
      </c>
    </row>
    <row r="84" spans="1:12" x14ac:dyDescent="0.25">
      <c r="A84">
        <f t="shared" si="13"/>
        <v>82</v>
      </c>
      <c r="B84">
        <v>85</v>
      </c>
      <c r="C84" t="str">
        <f t="shared" si="9"/>
        <v>INCOMPLETA</v>
      </c>
      <c r="D84" t="str">
        <f t="shared" si="10"/>
        <v>ERRO</v>
      </c>
      <c r="E84" t="str">
        <f t="shared" si="11"/>
        <v>QUANTIDADE_NEGATIVA; PRECO_VAZIA</v>
      </c>
      <c r="F84" s="1" t="s">
        <v>22</v>
      </c>
      <c r="G84" t="s">
        <v>26</v>
      </c>
      <c r="H84" t="s">
        <v>53</v>
      </c>
      <c r="I84">
        <v>-3</v>
      </c>
      <c r="J84" s="2">
        <v>-10</v>
      </c>
      <c r="K84" s="3" t="str">
        <f t="shared" si="12"/>
        <v/>
      </c>
      <c r="L84" t="s">
        <v>10</v>
      </c>
    </row>
    <row r="85" spans="1:12" x14ac:dyDescent="0.25">
      <c r="A85">
        <f t="shared" si="13"/>
        <v>83</v>
      </c>
      <c r="B85">
        <v>85</v>
      </c>
      <c r="C85" t="str">
        <f t="shared" si="9"/>
        <v>INCOMPLETA</v>
      </c>
      <c r="D85" t="str">
        <f t="shared" si="10"/>
        <v>ERRO</v>
      </c>
      <c r="E85" t="str">
        <f t="shared" si="11"/>
        <v>PRECO_VAZIA</v>
      </c>
      <c r="F85" s="1" t="s">
        <v>81</v>
      </c>
      <c r="G85" t="s">
        <v>12</v>
      </c>
      <c r="H85" t="s">
        <v>15</v>
      </c>
      <c r="J85" s="2"/>
      <c r="K85" s="3" t="str">
        <f t="shared" si="12"/>
        <v/>
      </c>
      <c r="L85" t="s">
        <v>21</v>
      </c>
    </row>
    <row r="86" spans="1:12" x14ac:dyDescent="0.25">
      <c r="A86">
        <f t="shared" si="13"/>
        <v>84</v>
      </c>
      <c r="B86">
        <v>86</v>
      </c>
      <c r="C86" t="str">
        <f t="shared" si="9"/>
        <v>INCOMPLETA</v>
      </c>
      <c r="D86" t="str">
        <f t="shared" si="10"/>
        <v>ERRO</v>
      </c>
      <c r="E86" t="str">
        <f t="shared" si="11"/>
        <v>QUANTIDADE_VAZIA; CLIENTE_VAZIA; CIDADE_VAZIA</v>
      </c>
      <c r="F86" s="1" t="s">
        <v>63</v>
      </c>
      <c r="H86" t="s">
        <v>31</v>
      </c>
      <c r="I86">
        <v>10</v>
      </c>
      <c r="J86" s="2" t="s">
        <v>35</v>
      </c>
      <c r="K86" s="3" t="str">
        <f t="shared" si="12"/>
        <v>R$ 30</v>
      </c>
    </row>
    <row r="87" spans="1:12" x14ac:dyDescent="0.25">
      <c r="A87">
        <f t="shared" si="13"/>
        <v>85</v>
      </c>
      <c r="B87">
        <v>87</v>
      </c>
      <c r="C87" t="str">
        <f t="shared" si="9"/>
        <v>INCOMPLETA</v>
      </c>
      <c r="D87" t="str">
        <f t="shared" si="10"/>
        <v>ERRO</v>
      </c>
      <c r="E87" t="str">
        <f t="shared" si="11"/>
        <v>PRECO_VAZIA; CIDADE_VAZIA</v>
      </c>
      <c r="F87" s="1" t="s">
        <v>98</v>
      </c>
      <c r="G87" t="s">
        <v>26</v>
      </c>
      <c r="H87" t="s">
        <v>53</v>
      </c>
      <c r="J87" s="2"/>
      <c r="K87" s="3" t="str">
        <f t="shared" si="12"/>
        <v/>
      </c>
    </row>
    <row r="88" spans="1:12" x14ac:dyDescent="0.25">
      <c r="A88">
        <f t="shared" si="13"/>
        <v>86</v>
      </c>
      <c r="B88">
        <v>88</v>
      </c>
      <c r="C88" t="str">
        <f t="shared" si="9"/>
        <v>INCOMPLETA</v>
      </c>
      <c r="D88" t="str">
        <f t="shared" si="10"/>
        <v>ERRO</v>
      </c>
      <c r="E88" t="str">
        <f t="shared" si="11"/>
        <v/>
      </c>
      <c r="F88" s="1" t="s">
        <v>99</v>
      </c>
      <c r="G88" t="s">
        <v>26</v>
      </c>
      <c r="H88" t="s">
        <v>23</v>
      </c>
      <c r="J88" s="2" t="s">
        <v>35</v>
      </c>
      <c r="K88" s="3" t="str">
        <f t="shared" si="12"/>
        <v>R$ 30</v>
      </c>
      <c r="L88" t="s">
        <v>49</v>
      </c>
    </row>
    <row r="89" spans="1:12" x14ac:dyDescent="0.25">
      <c r="A89">
        <f t="shared" si="13"/>
        <v>87</v>
      </c>
      <c r="B89">
        <v>89</v>
      </c>
      <c r="C89" t="str">
        <f t="shared" si="9"/>
        <v>COMPLETA</v>
      </c>
      <c r="D89" t="str">
        <f t="shared" si="10"/>
        <v>ERRO</v>
      </c>
      <c r="E89" t="str">
        <f t="shared" si="11"/>
        <v>QUANTIDADE_NEGATIVA</v>
      </c>
      <c r="F89" s="1" t="s">
        <v>63</v>
      </c>
      <c r="G89" t="s">
        <v>8</v>
      </c>
      <c r="H89" t="s">
        <v>47</v>
      </c>
      <c r="I89">
        <v>-3</v>
      </c>
      <c r="J89" s="2">
        <v>224.5</v>
      </c>
      <c r="K89" s="3">
        <f t="shared" si="12"/>
        <v>224.5</v>
      </c>
      <c r="L89" t="s">
        <v>49</v>
      </c>
    </row>
    <row r="90" spans="1:12" x14ac:dyDescent="0.25">
      <c r="A90">
        <f t="shared" si="13"/>
        <v>88</v>
      </c>
      <c r="B90">
        <v>90</v>
      </c>
      <c r="C90" t="str">
        <f t="shared" si="9"/>
        <v>INCOMPLETA</v>
      </c>
      <c r="D90" t="str">
        <f t="shared" si="10"/>
        <v>ERRO</v>
      </c>
      <c r="E90" t="str">
        <f t="shared" si="11"/>
        <v>CIDADE_VAZIA</v>
      </c>
      <c r="F90" s="1" t="s">
        <v>100</v>
      </c>
      <c r="G90" t="s">
        <v>8</v>
      </c>
      <c r="H90" t="s">
        <v>37</v>
      </c>
      <c r="J90" s="2">
        <v>481.34</v>
      </c>
      <c r="K90" s="3">
        <f t="shared" si="12"/>
        <v>481.34</v>
      </c>
    </row>
    <row r="91" spans="1:12" x14ac:dyDescent="0.25">
      <c r="A91">
        <f t="shared" si="13"/>
        <v>89</v>
      </c>
      <c r="B91">
        <v>91</v>
      </c>
      <c r="C91" t="str">
        <f t="shared" si="9"/>
        <v>INCOMPLETA</v>
      </c>
      <c r="D91" t="str">
        <f t="shared" si="10"/>
        <v>ERRO</v>
      </c>
      <c r="E91" t="str">
        <f t="shared" si="11"/>
        <v>QUANTIDADE_NEGATIVA; PRECO_VAZIA</v>
      </c>
      <c r="F91" s="1" t="s">
        <v>101</v>
      </c>
      <c r="G91" t="s">
        <v>12</v>
      </c>
      <c r="H91" t="s">
        <v>15</v>
      </c>
      <c r="I91">
        <v>-3</v>
      </c>
      <c r="J91" s="2"/>
      <c r="K91" s="3" t="str">
        <f t="shared" si="12"/>
        <v/>
      </c>
      <c r="L91" t="s">
        <v>10</v>
      </c>
    </row>
    <row r="92" spans="1:12" x14ac:dyDescent="0.25">
      <c r="A92">
        <f t="shared" si="13"/>
        <v>90</v>
      </c>
      <c r="B92">
        <v>92</v>
      </c>
      <c r="C92" t="str">
        <f t="shared" si="9"/>
        <v>COMPLETA</v>
      </c>
      <c r="D92" t="str">
        <f t="shared" si="10"/>
        <v>ERRO</v>
      </c>
      <c r="E92" t="str">
        <f t="shared" si="11"/>
        <v>QUANTIDADE_NEGATIVA</v>
      </c>
      <c r="F92" s="1" t="s">
        <v>102</v>
      </c>
      <c r="G92" t="s">
        <v>12</v>
      </c>
      <c r="H92" t="s">
        <v>31</v>
      </c>
      <c r="I92">
        <v>-3</v>
      </c>
      <c r="J92" s="2">
        <v>173.32</v>
      </c>
      <c r="K92" s="3">
        <f t="shared" si="12"/>
        <v>173.32</v>
      </c>
      <c r="L92" t="s">
        <v>13</v>
      </c>
    </row>
    <row r="93" spans="1:12" x14ac:dyDescent="0.25">
      <c r="A93">
        <f t="shared" si="13"/>
        <v>91</v>
      </c>
      <c r="B93">
        <v>93</v>
      </c>
      <c r="C93" t="str">
        <f t="shared" si="9"/>
        <v>COMPLETA</v>
      </c>
      <c r="D93" t="str">
        <f t="shared" si="10"/>
        <v>ERRO</v>
      </c>
      <c r="E93" t="str">
        <f t="shared" si="11"/>
        <v/>
      </c>
      <c r="F93" s="1" t="s">
        <v>103</v>
      </c>
      <c r="G93" t="s">
        <v>33</v>
      </c>
      <c r="H93" t="s">
        <v>53</v>
      </c>
      <c r="I93">
        <v>13</v>
      </c>
      <c r="J93" s="2" t="s">
        <v>35</v>
      </c>
      <c r="K93" s="3" t="str">
        <f t="shared" si="12"/>
        <v>R$ 30</v>
      </c>
      <c r="L93" t="s">
        <v>17</v>
      </c>
    </row>
    <row r="94" spans="1:12" x14ac:dyDescent="0.25">
      <c r="A94">
        <f t="shared" si="13"/>
        <v>92</v>
      </c>
      <c r="B94">
        <v>94</v>
      </c>
      <c r="C94" t="str">
        <f t="shared" si="9"/>
        <v>INCOMPLETA</v>
      </c>
      <c r="D94" t="str">
        <f t="shared" si="10"/>
        <v>ERRO</v>
      </c>
      <c r="E94" t="str">
        <f t="shared" si="11"/>
        <v>QUANTIDADE_NEGATIVA; PRECO_VAZIA; PRODUTO_VAZIA</v>
      </c>
      <c r="F94" s="1" t="s">
        <v>22</v>
      </c>
      <c r="G94" t="s">
        <v>33</v>
      </c>
      <c r="I94">
        <v>-3</v>
      </c>
      <c r="J94" s="2"/>
      <c r="K94" s="3" t="str">
        <f t="shared" si="12"/>
        <v/>
      </c>
      <c r="L94" t="s">
        <v>10</v>
      </c>
    </row>
    <row r="95" spans="1:12" x14ac:dyDescent="0.25">
      <c r="A95">
        <f t="shared" si="13"/>
        <v>93</v>
      </c>
      <c r="B95">
        <v>95</v>
      </c>
      <c r="C95" t="str">
        <f t="shared" si="9"/>
        <v>INCOMPLETA</v>
      </c>
      <c r="D95" t="str">
        <f t="shared" si="10"/>
        <v>ERRO</v>
      </c>
      <c r="E95" t="str">
        <f t="shared" si="11"/>
        <v>PRECO_VAZIA</v>
      </c>
      <c r="F95" s="1" t="s">
        <v>104</v>
      </c>
      <c r="G95" t="s">
        <v>33</v>
      </c>
      <c r="H95" t="s">
        <v>31</v>
      </c>
      <c r="J95" s="2"/>
      <c r="K95" s="3" t="str">
        <f t="shared" si="12"/>
        <v/>
      </c>
      <c r="L95" t="s">
        <v>17</v>
      </c>
    </row>
    <row r="96" spans="1:12" x14ac:dyDescent="0.25">
      <c r="A96">
        <f t="shared" si="13"/>
        <v>94</v>
      </c>
      <c r="B96">
        <v>96</v>
      </c>
      <c r="C96" t="str">
        <f t="shared" si="9"/>
        <v>INCOMPLETA</v>
      </c>
      <c r="D96" t="str">
        <f t="shared" si="10"/>
        <v>ERRO</v>
      </c>
      <c r="E96" t="str">
        <f t="shared" si="11"/>
        <v/>
      </c>
      <c r="F96" s="1" t="s">
        <v>105</v>
      </c>
      <c r="G96" t="s">
        <v>33</v>
      </c>
      <c r="H96" t="s">
        <v>23</v>
      </c>
      <c r="J96" s="2" t="s">
        <v>35</v>
      </c>
      <c r="K96" s="3" t="str">
        <f t="shared" si="12"/>
        <v>R$ 30</v>
      </c>
      <c r="L96" t="s">
        <v>10</v>
      </c>
    </row>
    <row r="97" spans="1:12" x14ac:dyDescent="0.25">
      <c r="A97">
        <f t="shared" si="13"/>
        <v>95</v>
      </c>
      <c r="B97">
        <v>98</v>
      </c>
      <c r="C97" t="str">
        <f t="shared" si="9"/>
        <v>INCOMPLETA</v>
      </c>
      <c r="D97" t="str">
        <f t="shared" si="10"/>
        <v>ERRO</v>
      </c>
      <c r="E97" t="str">
        <f t="shared" si="11"/>
        <v>QUANTIDADE_VAZIA; QUANTIDADE_NEGATIVA; PRECO_VAZIA; CLIENTE_VAZIA</v>
      </c>
      <c r="F97" s="1" t="s">
        <v>106</v>
      </c>
      <c r="H97" t="s">
        <v>53</v>
      </c>
      <c r="I97">
        <v>-3</v>
      </c>
      <c r="J97" s="2"/>
      <c r="K97" s="3" t="str">
        <f t="shared" si="12"/>
        <v/>
      </c>
      <c r="L97" t="s">
        <v>49</v>
      </c>
    </row>
    <row r="98" spans="1:12" x14ac:dyDescent="0.25">
      <c r="A98">
        <f t="shared" si="13"/>
        <v>96</v>
      </c>
      <c r="B98">
        <v>99</v>
      </c>
      <c r="C98" t="str">
        <f t="shared" ref="C98:C129" si="14">IF(AND(B98&lt;&gt;"",F98&lt;&gt;"",G98&lt;&gt;"",H98&lt;&gt;"",I98&lt;&gt;"",K98&lt;&gt;"",L98&lt;&gt;""),"COMPLETA","INCOMPLETA")</f>
        <v>INCOMPLETA</v>
      </c>
      <c r="D98" t="str">
        <f t="shared" ref="D98:D129" si="15">IF(AND(C98="COMPLETA", ISNUMBER(I98), I98&gt;0, ISNUMBER(K98), K98&gt;0), "OK", "ERRO")</f>
        <v>ERRO</v>
      </c>
      <c r="E98" t="str">
        <f t="shared" ref="E98:E129" si="16">_xlfn.TEXTJOIN("; ", TRUE,
  IF(G98="", "QUANTIDADE_VAZIA", ""),
  IF(AND(ISNUMBER(I98), I98&lt;0), "QUANTIDADE_NEGATIVA", ""),
  IF(K98="", "PRECO_VAZIA", ""),
  IF(G98="", "CLIENTE_VAZIA", ""),
  IF(H98="", "PRODUTO_VAZIA", ""),
  IF(L98="", "CIDADE_VAZIA", ""),
  IF(F98="", "DATA_VAZIA", "")
)</f>
        <v>PRECO_VAZIA; PRODUTO_VAZIA</v>
      </c>
      <c r="F98" s="1" t="s">
        <v>107</v>
      </c>
      <c r="G98" t="s">
        <v>26</v>
      </c>
      <c r="I98">
        <v>5</v>
      </c>
      <c r="J98" s="2">
        <v>-10</v>
      </c>
      <c r="K98" s="3" t="str">
        <f t="shared" ref="K98:K129" si="17">IF(J98&gt;0, J98, "")</f>
        <v/>
      </c>
      <c r="L98" t="s">
        <v>17</v>
      </c>
    </row>
    <row r="99" spans="1:12" x14ac:dyDescent="0.25">
      <c r="A99">
        <f t="shared" si="13"/>
        <v>97</v>
      </c>
      <c r="B99">
        <v>100</v>
      </c>
      <c r="C99" t="str">
        <f t="shared" si="14"/>
        <v>INCOMPLETA</v>
      </c>
      <c r="D99" t="str">
        <f t="shared" si="15"/>
        <v>ERRO</v>
      </c>
      <c r="E99" t="str">
        <f t="shared" si="16"/>
        <v>PRECO_VAZIA</v>
      </c>
      <c r="F99" s="1" t="s">
        <v>59</v>
      </c>
      <c r="G99" t="s">
        <v>8</v>
      </c>
      <c r="H99" t="s">
        <v>37</v>
      </c>
      <c r="I99">
        <v>10</v>
      </c>
      <c r="J99" s="2">
        <v>-10</v>
      </c>
      <c r="K99" s="3" t="str">
        <f t="shared" si="17"/>
        <v/>
      </c>
      <c r="L99" t="s">
        <v>13</v>
      </c>
    </row>
    <row r="100" spans="1:12" x14ac:dyDescent="0.25">
      <c r="A100">
        <f t="shared" si="13"/>
        <v>98</v>
      </c>
      <c r="B100">
        <v>101</v>
      </c>
      <c r="C100" t="str">
        <f t="shared" si="14"/>
        <v>COMPLETA</v>
      </c>
      <c r="D100" t="str">
        <f t="shared" si="15"/>
        <v>ERRO</v>
      </c>
      <c r="E100" t="str">
        <f t="shared" si="16"/>
        <v>QUANTIDADE_NEGATIVA</v>
      </c>
      <c r="F100" s="1" t="s">
        <v>108</v>
      </c>
      <c r="G100" t="s">
        <v>8</v>
      </c>
      <c r="H100" t="s">
        <v>19</v>
      </c>
      <c r="I100">
        <v>-3</v>
      </c>
      <c r="J100" s="2" t="s">
        <v>35</v>
      </c>
      <c r="K100" s="3" t="str">
        <f t="shared" si="17"/>
        <v>R$ 30</v>
      </c>
      <c r="L100" t="s">
        <v>13</v>
      </c>
    </row>
    <row r="101" spans="1:12" x14ac:dyDescent="0.25">
      <c r="A101">
        <f t="shared" si="13"/>
        <v>99</v>
      </c>
      <c r="B101">
        <v>102</v>
      </c>
      <c r="C101" t="str">
        <f t="shared" si="14"/>
        <v>INCOMPLETA</v>
      </c>
      <c r="D101" t="str">
        <f t="shared" si="15"/>
        <v>ERRO</v>
      </c>
      <c r="E101" t="str">
        <f t="shared" si="16"/>
        <v>QUANTIDADE_VAZIA; QUANTIDADE_NEGATIVA; PRECO_VAZIA; CLIENTE_VAZIA; CIDADE_VAZIA</v>
      </c>
      <c r="F101" s="1" t="s">
        <v>109</v>
      </c>
      <c r="H101" t="s">
        <v>47</v>
      </c>
      <c r="I101">
        <v>-3</v>
      </c>
      <c r="J101" s="2">
        <v>-10</v>
      </c>
      <c r="K101" s="3" t="str">
        <f t="shared" si="17"/>
        <v/>
      </c>
    </row>
    <row r="102" spans="1:12" x14ac:dyDescent="0.25">
      <c r="A102">
        <f t="shared" si="13"/>
        <v>100</v>
      </c>
      <c r="B102">
        <v>103</v>
      </c>
      <c r="C102" t="str">
        <f t="shared" si="14"/>
        <v>COMPLETA</v>
      </c>
      <c r="D102" t="str">
        <f t="shared" si="15"/>
        <v>ERRO</v>
      </c>
      <c r="E102" t="str">
        <f t="shared" si="16"/>
        <v/>
      </c>
      <c r="F102" s="1" t="s">
        <v>18</v>
      </c>
      <c r="G102" t="s">
        <v>33</v>
      </c>
      <c r="H102" t="s">
        <v>15</v>
      </c>
      <c r="I102">
        <v>16</v>
      </c>
      <c r="J102" s="2" t="s">
        <v>35</v>
      </c>
      <c r="K102" s="3" t="str">
        <f t="shared" si="17"/>
        <v>R$ 30</v>
      </c>
      <c r="L102" t="s">
        <v>21</v>
      </c>
    </row>
    <row r="103" spans="1:12" x14ac:dyDescent="0.25">
      <c r="A103">
        <f t="shared" si="13"/>
        <v>101</v>
      </c>
      <c r="B103">
        <v>104</v>
      </c>
      <c r="C103" t="str">
        <f t="shared" si="14"/>
        <v>INCOMPLETA</v>
      </c>
      <c r="D103" t="str">
        <f t="shared" si="15"/>
        <v>ERRO</v>
      </c>
      <c r="E103" t="str">
        <f t="shared" si="16"/>
        <v>PRECO_VAZIA</v>
      </c>
      <c r="F103" s="1" t="s">
        <v>91</v>
      </c>
      <c r="G103" t="s">
        <v>26</v>
      </c>
      <c r="H103" t="s">
        <v>23</v>
      </c>
      <c r="I103">
        <v>15</v>
      </c>
      <c r="J103" s="2"/>
      <c r="K103" s="3" t="str">
        <f t="shared" si="17"/>
        <v/>
      </c>
      <c r="L103" t="s">
        <v>49</v>
      </c>
    </row>
    <row r="104" spans="1:12" x14ac:dyDescent="0.25">
      <c r="A104">
        <f t="shared" si="13"/>
        <v>102</v>
      </c>
      <c r="B104">
        <v>104</v>
      </c>
      <c r="C104" t="str">
        <f t="shared" si="14"/>
        <v>INCOMPLETA</v>
      </c>
      <c r="D104" t="str">
        <f t="shared" si="15"/>
        <v>ERRO</v>
      </c>
      <c r="E104" t="str">
        <f t="shared" si="16"/>
        <v>PRECO_VAZIA; PRODUTO_VAZIA; CIDADE_VAZIA</v>
      </c>
      <c r="F104" s="1" t="s">
        <v>42</v>
      </c>
      <c r="G104" t="s">
        <v>12</v>
      </c>
      <c r="I104">
        <v>15</v>
      </c>
      <c r="J104" s="2">
        <v>-10</v>
      </c>
      <c r="K104" s="3" t="str">
        <f t="shared" si="17"/>
        <v/>
      </c>
    </row>
    <row r="105" spans="1:12" x14ac:dyDescent="0.25">
      <c r="A105">
        <f t="shared" si="13"/>
        <v>103</v>
      </c>
      <c r="B105">
        <v>105</v>
      </c>
      <c r="C105" t="str">
        <f t="shared" si="14"/>
        <v>INCOMPLETA</v>
      </c>
      <c r="D105" t="str">
        <f t="shared" si="15"/>
        <v>ERRO</v>
      </c>
      <c r="E105" t="str">
        <f t="shared" si="16"/>
        <v>QUANTIDADE_NEGATIVA; CIDADE_VAZIA</v>
      </c>
      <c r="F105" s="1" t="s">
        <v>110</v>
      </c>
      <c r="G105" t="s">
        <v>33</v>
      </c>
      <c r="H105" t="s">
        <v>53</v>
      </c>
      <c r="I105">
        <v>-3</v>
      </c>
      <c r="J105" s="2" t="s">
        <v>35</v>
      </c>
      <c r="K105" s="3" t="str">
        <f t="shared" si="17"/>
        <v>R$ 30</v>
      </c>
    </row>
    <row r="106" spans="1:12" x14ac:dyDescent="0.25">
      <c r="A106">
        <f t="shared" si="13"/>
        <v>104</v>
      </c>
      <c r="B106">
        <v>106</v>
      </c>
      <c r="C106" t="str">
        <f t="shared" si="14"/>
        <v>INCOMPLETA</v>
      </c>
      <c r="D106" t="str">
        <f t="shared" si="15"/>
        <v>ERRO</v>
      </c>
      <c r="E106" t="str">
        <f t="shared" si="16"/>
        <v>PRECO_VAZIA; CIDADE_VAZIA</v>
      </c>
      <c r="F106" s="1" t="s">
        <v>18</v>
      </c>
      <c r="G106" t="s">
        <v>8</v>
      </c>
      <c r="H106" t="s">
        <v>31</v>
      </c>
      <c r="I106">
        <v>18</v>
      </c>
      <c r="J106" s="2"/>
      <c r="K106" s="3" t="str">
        <f t="shared" si="17"/>
        <v/>
      </c>
    </row>
    <row r="107" spans="1:12" x14ac:dyDescent="0.25">
      <c r="A107">
        <f t="shared" si="13"/>
        <v>105</v>
      </c>
      <c r="B107">
        <v>107</v>
      </c>
      <c r="C107" t="str">
        <f t="shared" si="14"/>
        <v>INCOMPLETA</v>
      </c>
      <c r="D107" t="str">
        <f t="shared" si="15"/>
        <v>ERRO</v>
      </c>
      <c r="E107" t="str">
        <f t="shared" si="16"/>
        <v>QUANTIDADE_VAZIA; QUANTIDADE_NEGATIVA; CLIENTE_VAZIA</v>
      </c>
      <c r="F107" s="1" t="s">
        <v>80</v>
      </c>
      <c r="H107" t="s">
        <v>37</v>
      </c>
      <c r="I107">
        <v>-3</v>
      </c>
      <c r="J107" s="2" t="s">
        <v>35</v>
      </c>
      <c r="K107" s="3" t="str">
        <f t="shared" si="17"/>
        <v>R$ 30</v>
      </c>
      <c r="L107" t="s">
        <v>17</v>
      </c>
    </row>
    <row r="108" spans="1:12" x14ac:dyDescent="0.25">
      <c r="A108">
        <f t="shared" si="13"/>
        <v>106</v>
      </c>
      <c r="B108">
        <v>107</v>
      </c>
      <c r="C108" t="str">
        <f t="shared" si="14"/>
        <v>COMPLETA</v>
      </c>
      <c r="D108" t="str">
        <f t="shared" si="15"/>
        <v>OK</v>
      </c>
      <c r="E108" t="str">
        <f t="shared" si="16"/>
        <v/>
      </c>
      <c r="F108" t="s">
        <v>111</v>
      </c>
      <c r="G108" t="s">
        <v>26</v>
      </c>
      <c r="H108" t="s">
        <v>23</v>
      </c>
      <c r="I108">
        <v>14</v>
      </c>
      <c r="J108">
        <v>382.58</v>
      </c>
      <c r="K108" s="3">
        <f t="shared" si="17"/>
        <v>382.58</v>
      </c>
      <c r="L108" t="s">
        <v>49</v>
      </c>
    </row>
    <row r="109" spans="1:12" x14ac:dyDescent="0.25">
      <c r="A109">
        <f t="shared" si="13"/>
        <v>107</v>
      </c>
      <c r="B109">
        <v>108</v>
      </c>
      <c r="C109" t="str">
        <f t="shared" si="14"/>
        <v>COMPLETA</v>
      </c>
      <c r="D109" t="str">
        <f t="shared" si="15"/>
        <v>ERRO</v>
      </c>
      <c r="E109" t="str">
        <f t="shared" si="16"/>
        <v/>
      </c>
      <c r="F109" s="1" t="s">
        <v>58</v>
      </c>
      <c r="G109" t="s">
        <v>12</v>
      </c>
      <c r="H109" t="s">
        <v>37</v>
      </c>
      <c r="I109">
        <v>11</v>
      </c>
      <c r="J109" s="2" t="s">
        <v>35</v>
      </c>
      <c r="K109" s="3" t="str">
        <f t="shared" si="17"/>
        <v>R$ 30</v>
      </c>
      <c r="L109" t="s">
        <v>49</v>
      </c>
    </row>
    <row r="110" spans="1:12" x14ac:dyDescent="0.25">
      <c r="A110">
        <f t="shared" si="13"/>
        <v>108</v>
      </c>
      <c r="B110">
        <v>109</v>
      </c>
      <c r="C110" t="str">
        <f t="shared" si="14"/>
        <v>INCOMPLETA</v>
      </c>
      <c r="D110" t="str">
        <f t="shared" si="15"/>
        <v>ERRO</v>
      </c>
      <c r="E110" t="str">
        <f t="shared" si="16"/>
        <v>PRECO_VAZIA</v>
      </c>
      <c r="F110" s="1" t="s">
        <v>55</v>
      </c>
      <c r="G110" t="s">
        <v>33</v>
      </c>
      <c r="H110" t="s">
        <v>15</v>
      </c>
      <c r="J110" s="2">
        <v>-10</v>
      </c>
      <c r="K110" s="3" t="str">
        <f t="shared" si="17"/>
        <v/>
      </c>
      <c r="L110" t="s">
        <v>10</v>
      </c>
    </row>
    <row r="111" spans="1:12" x14ac:dyDescent="0.25">
      <c r="A111">
        <f t="shared" si="13"/>
        <v>109</v>
      </c>
      <c r="B111">
        <v>110</v>
      </c>
      <c r="C111" t="str">
        <f t="shared" si="14"/>
        <v>COMPLETA</v>
      </c>
      <c r="D111" t="str">
        <f t="shared" si="15"/>
        <v>OK</v>
      </c>
      <c r="E111" t="str">
        <f t="shared" si="16"/>
        <v/>
      </c>
      <c r="F111" t="s">
        <v>46</v>
      </c>
      <c r="G111" t="s">
        <v>33</v>
      </c>
      <c r="H111" t="s">
        <v>47</v>
      </c>
      <c r="I111">
        <v>15</v>
      </c>
      <c r="J111">
        <v>339.95</v>
      </c>
      <c r="K111" s="3">
        <f t="shared" si="17"/>
        <v>339.95</v>
      </c>
      <c r="L111" t="s">
        <v>21</v>
      </c>
    </row>
    <row r="112" spans="1:12" x14ac:dyDescent="0.25">
      <c r="A112">
        <f t="shared" si="13"/>
        <v>110</v>
      </c>
      <c r="B112">
        <v>110</v>
      </c>
      <c r="C112" t="str">
        <f t="shared" si="14"/>
        <v>INCOMPLETA</v>
      </c>
      <c r="D112" t="str">
        <f t="shared" si="15"/>
        <v>ERRO</v>
      </c>
      <c r="E112" t="str">
        <f t="shared" si="16"/>
        <v>QUANTIDADE_VAZIA; QUANTIDADE_NEGATIVA; PRECO_VAZIA; CLIENTE_VAZIA</v>
      </c>
      <c r="F112" s="1" t="s">
        <v>112</v>
      </c>
      <c r="H112" t="s">
        <v>15</v>
      </c>
      <c r="I112">
        <v>-3</v>
      </c>
      <c r="J112" s="2">
        <v>-10</v>
      </c>
      <c r="K112" s="3" t="str">
        <f t="shared" si="17"/>
        <v/>
      </c>
      <c r="L112" t="s">
        <v>17</v>
      </c>
    </row>
    <row r="113" spans="1:12" x14ac:dyDescent="0.25">
      <c r="A113">
        <f t="shared" si="13"/>
        <v>111</v>
      </c>
      <c r="B113">
        <v>111</v>
      </c>
      <c r="C113" t="str">
        <f t="shared" si="14"/>
        <v>INCOMPLETA</v>
      </c>
      <c r="D113" t="str">
        <f t="shared" si="15"/>
        <v>ERRO</v>
      </c>
      <c r="E113" t="str">
        <f t="shared" si="16"/>
        <v>QUANTIDADE_VAZIA; CLIENTE_VAZIA; PRODUTO_VAZIA</v>
      </c>
      <c r="F113" s="1" t="s">
        <v>52</v>
      </c>
      <c r="I113">
        <v>10</v>
      </c>
      <c r="J113" s="2" t="s">
        <v>35</v>
      </c>
      <c r="K113" s="3" t="str">
        <f t="shared" si="17"/>
        <v>R$ 30</v>
      </c>
      <c r="L113" t="s">
        <v>10</v>
      </c>
    </row>
    <row r="114" spans="1:12" x14ac:dyDescent="0.25">
      <c r="A114">
        <f t="shared" si="13"/>
        <v>112</v>
      </c>
      <c r="B114">
        <v>111</v>
      </c>
      <c r="C114" t="str">
        <f t="shared" si="14"/>
        <v>INCOMPLETA</v>
      </c>
      <c r="D114" t="str">
        <f t="shared" si="15"/>
        <v>ERRO</v>
      </c>
      <c r="E114" t="str">
        <f t="shared" si="16"/>
        <v>PRODUTO_VAZIA</v>
      </c>
      <c r="F114" s="1" t="s">
        <v>113</v>
      </c>
      <c r="G114" t="s">
        <v>8</v>
      </c>
      <c r="I114">
        <v>6</v>
      </c>
      <c r="J114" s="2" t="s">
        <v>35</v>
      </c>
      <c r="K114" s="3" t="str">
        <f t="shared" si="17"/>
        <v>R$ 30</v>
      </c>
      <c r="L114" t="s">
        <v>10</v>
      </c>
    </row>
    <row r="115" spans="1:12" x14ac:dyDescent="0.25">
      <c r="A115">
        <f t="shared" si="13"/>
        <v>113</v>
      </c>
      <c r="B115">
        <v>112</v>
      </c>
      <c r="C115" t="str">
        <f t="shared" si="14"/>
        <v>INCOMPLETA</v>
      </c>
      <c r="D115" t="str">
        <f t="shared" si="15"/>
        <v>ERRO</v>
      </c>
      <c r="E115" t="str">
        <f t="shared" si="16"/>
        <v>PRECO_VAZIA</v>
      </c>
      <c r="F115" s="1" t="s">
        <v>114</v>
      </c>
      <c r="G115" t="s">
        <v>8</v>
      </c>
      <c r="H115" t="s">
        <v>31</v>
      </c>
      <c r="J115" s="2">
        <v>-10</v>
      </c>
      <c r="K115" s="3" t="str">
        <f t="shared" si="17"/>
        <v/>
      </c>
      <c r="L115" t="s">
        <v>21</v>
      </c>
    </row>
    <row r="116" spans="1:12" x14ac:dyDescent="0.25">
      <c r="A116">
        <f t="shared" si="13"/>
        <v>114</v>
      </c>
      <c r="B116">
        <v>113</v>
      </c>
      <c r="C116" t="str">
        <f t="shared" si="14"/>
        <v>INCOMPLETA</v>
      </c>
      <c r="D116" t="str">
        <f t="shared" si="15"/>
        <v>ERRO</v>
      </c>
      <c r="E116" t="str">
        <f t="shared" si="16"/>
        <v>PRECO_VAZIA</v>
      </c>
      <c r="F116" s="1" t="s">
        <v>45</v>
      </c>
      <c r="G116" t="s">
        <v>8</v>
      </c>
      <c r="H116" t="s">
        <v>53</v>
      </c>
      <c r="I116">
        <v>10</v>
      </c>
      <c r="J116" s="2">
        <v>-10</v>
      </c>
      <c r="K116" s="3" t="str">
        <f t="shared" si="17"/>
        <v/>
      </c>
      <c r="L116" t="s">
        <v>17</v>
      </c>
    </row>
    <row r="117" spans="1:12" x14ac:dyDescent="0.25">
      <c r="A117">
        <f t="shared" si="13"/>
        <v>115</v>
      </c>
      <c r="B117">
        <v>113</v>
      </c>
      <c r="C117" t="str">
        <f t="shared" si="14"/>
        <v>INCOMPLETA</v>
      </c>
      <c r="D117" t="str">
        <f t="shared" si="15"/>
        <v>ERRO</v>
      </c>
      <c r="E117" t="str">
        <f t="shared" si="16"/>
        <v>QUANTIDADE_NEGATIVA; PRECO_VAZIA</v>
      </c>
      <c r="F117" s="1" t="s">
        <v>81</v>
      </c>
      <c r="G117" t="s">
        <v>33</v>
      </c>
      <c r="H117" t="s">
        <v>31</v>
      </c>
      <c r="I117">
        <v>-3</v>
      </c>
      <c r="J117" s="2"/>
      <c r="K117" s="3" t="str">
        <f t="shared" si="17"/>
        <v/>
      </c>
      <c r="L117" t="s">
        <v>10</v>
      </c>
    </row>
    <row r="118" spans="1:12" x14ac:dyDescent="0.25">
      <c r="A118">
        <f t="shared" si="13"/>
        <v>116</v>
      </c>
      <c r="B118">
        <v>115</v>
      </c>
      <c r="C118" t="str">
        <f t="shared" si="14"/>
        <v>INCOMPLETA</v>
      </c>
      <c r="D118" t="str">
        <f t="shared" si="15"/>
        <v>ERRO</v>
      </c>
      <c r="E118" t="str">
        <f t="shared" si="16"/>
        <v>PRECO_VAZIA</v>
      </c>
      <c r="F118" s="1" t="s">
        <v>116</v>
      </c>
      <c r="G118" t="s">
        <v>8</v>
      </c>
      <c r="H118" t="s">
        <v>15</v>
      </c>
      <c r="I118">
        <v>4</v>
      </c>
      <c r="J118" s="2">
        <v>-10</v>
      </c>
      <c r="K118" s="3" t="str">
        <f t="shared" si="17"/>
        <v/>
      </c>
      <c r="L118" t="s">
        <v>21</v>
      </c>
    </row>
    <row r="119" spans="1:12" x14ac:dyDescent="0.25">
      <c r="A119">
        <f t="shared" si="13"/>
        <v>117</v>
      </c>
      <c r="B119">
        <v>116</v>
      </c>
      <c r="C119" t="str">
        <f t="shared" si="14"/>
        <v>INCOMPLETA</v>
      </c>
      <c r="D119" t="str">
        <f t="shared" si="15"/>
        <v>ERRO</v>
      </c>
      <c r="E119" t="str">
        <f t="shared" si="16"/>
        <v>PRECO_VAZIA</v>
      </c>
      <c r="F119" s="1" t="s">
        <v>117</v>
      </c>
      <c r="G119" t="s">
        <v>26</v>
      </c>
      <c r="H119" t="s">
        <v>23</v>
      </c>
      <c r="I119">
        <v>10</v>
      </c>
      <c r="J119" s="2"/>
      <c r="K119" s="3" t="str">
        <f t="shared" si="17"/>
        <v/>
      </c>
      <c r="L119" t="s">
        <v>13</v>
      </c>
    </row>
    <row r="120" spans="1:12" x14ac:dyDescent="0.25">
      <c r="A120">
        <f t="shared" si="13"/>
        <v>118</v>
      </c>
      <c r="B120">
        <v>117</v>
      </c>
      <c r="C120" t="str">
        <f t="shared" si="14"/>
        <v>INCOMPLETA</v>
      </c>
      <c r="D120" t="str">
        <f t="shared" si="15"/>
        <v>ERRO</v>
      </c>
      <c r="E120" t="str">
        <f t="shared" si="16"/>
        <v>PRODUTO_VAZIA</v>
      </c>
      <c r="F120" s="1" t="s">
        <v>118</v>
      </c>
      <c r="G120" t="s">
        <v>8</v>
      </c>
      <c r="I120">
        <v>10</v>
      </c>
      <c r="J120" s="2" t="s">
        <v>35</v>
      </c>
      <c r="K120" s="3" t="str">
        <f t="shared" si="17"/>
        <v>R$ 30</v>
      </c>
      <c r="L120" t="s">
        <v>49</v>
      </c>
    </row>
    <row r="121" spans="1:12" x14ac:dyDescent="0.25">
      <c r="A121">
        <f t="shared" si="13"/>
        <v>119</v>
      </c>
      <c r="B121">
        <v>118</v>
      </c>
      <c r="C121" t="str">
        <f t="shared" si="14"/>
        <v>INCOMPLETA</v>
      </c>
      <c r="D121" t="str">
        <f t="shared" si="15"/>
        <v>ERRO</v>
      </c>
      <c r="E121" t="str">
        <f t="shared" si="16"/>
        <v>PRECO_VAZIA; CIDADE_VAZIA</v>
      </c>
      <c r="F121" s="1" t="s">
        <v>119</v>
      </c>
      <c r="G121" t="s">
        <v>8</v>
      </c>
      <c r="H121" t="s">
        <v>23</v>
      </c>
      <c r="I121">
        <v>15</v>
      </c>
      <c r="J121" s="2"/>
      <c r="K121" s="3" t="str">
        <f t="shared" si="17"/>
        <v/>
      </c>
    </row>
    <row r="122" spans="1:12" x14ac:dyDescent="0.25">
      <c r="A122">
        <f t="shared" si="13"/>
        <v>120</v>
      </c>
      <c r="B122">
        <v>119</v>
      </c>
      <c r="C122" t="str">
        <f t="shared" si="14"/>
        <v>INCOMPLETA</v>
      </c>
      <c r="D122" t="str">
        <f t="shared" si="15"/>
        <v>ERRO</v>
      </c>
      <c r="E122" t="str">
        <f t="shared" si="16"/>
        <v>QUANTIDADE_VAZIA; QUANTIDADE_NEGATIVA; CLIENTE_VAZIA</v>
      </c>
      <c r="F122" s="1" t="s">
        <v>120</v>
      </c>
      <c r="H122" t="s">
        <v>19</v>
      </c>
      <c r="I122">
        <v>-3</v>
      </c>
      <c r="J122" s="2">
        <v>16.82</v>
      </c>
      <c r="K122" s="3">
        <f t="shared" si="17"/>
        <v>16.82</v>
      </c>
      <c r="L122" t="s">
        <v>49</v>
      </c>
    </row>
    <row r="123" spans="1:12" x14ac:dyDescent="0.25">
      <c r="A123">
        <f t="shared" si="13"/>
        <v>121</v>
      </c>
      <c r="B123">
        <v>120</v>
      </c>
      <c r="C123" t="str">
        <f t="shared" si="14"/>
        <v>INCOMPLETA</v>
      </c>
      <c r="D123" t="str">
        <f t="shared" si="15"/>
        <v>ERRO</v>
      </c>
      <c r="E123" t="str">
        <f t="shared" si="16"/>
        <v>PRECO_VAZIA</v>
      </c>
      <c r="F123" s="1" t="s">
        <v>84</v>
      </c>
      <c r="G123" t="s">
        <v>8</v>
      </c>
      <c r="H123" t="s">
        <v>47</v>
      </c>
      <c r="I123">
        <v>12</v>
      </c>
      <c r="J123" s="2">
        <v>-10</v>
      </c>
      <c r="K123" s="3" t="str">
        <f t="shared" si="17"/>
        <v/>
      </c>
      <c r="L123" t="s">
        <v>21</v>
      </c>
    </row>
    <row r="124" spans="1:12" x14ac:dyDescent="0.25">
      <c r="A124">
        <f t="shared" si="13"/>
        <v>122</v>
      </c>
      <c r="B124">
        <v>121</v>
      </c>
      <c r="C124" t="str">
        <f t="shared" si="14"/>
        <v>INCOMPLETA</v>
      </c>
      <c r="D124" t="str">
        <f t="shared" si="15"/>
        <v>ERRO</v>
      </c>
      <c r="E124" t="str">
        <f t="shared" si="16"/>
        <v>QUANTIDADE_NEGATIVA; CIDADE_VAZIA</v>
      </c>
      <c r="F124" s="1" t="s">
        <v>121</v>
      </c>
      <c r="G124" t="s">
        <v>8</v>
      </c>
      <c r="H124" t="s">
        <v>9</v>
      </c>
      <c r="I124">
        <v>-3</v>
      </c>
      <c r="J124" s="2" t="s">
        <v>35</v>
      </c>
      <c r="K124" s="3" t="str">
        <f t="shared" si="17"/>
        <v>R$ 30</v>
      </c>
    </row>
    <row r="125" spans="1:12" x14ac:dyDescent="0.25">
      <c r="A125">
        <f t="shared" si="13"/>
        <v>123</v>
      </c>
      <c r="B125">
        <v>122</v>
      </c>
      <c r="C125" t="str">
        <f t="shared" si="14"/>
        <v>INCOMPLETA</v>
      </c>
      <c r="D125" t="str">
        <f t="shared" si="15"/>
        <v>ERRO</v>
      </c>
      <c r="E125" t="str">
        <f t="shared" si="16"/>
        <v>QUANTIDADE_NEGATIVA; PRECO_VAZIA</v>
      </c>
      <c r="F125" s="1" t="s">
        <v>30</v>
      </c>
      <c r="G125" t="s">
        <v>12</v>
      </c>
      <c r="H125" t="s">
        <v>37</v>
      </c>
      <c r="I125">
        <v>-3</v>
      </c>
      <c r="J125" s="2"/>
      <c r="K125" s="3" t="str">
        <f t="shared" si="17"/>
        <v/>
      </c>
      <c r="L125" t="s">
        <v>10</v>
      </c>
    </row>
    <row r="126" spans="1:12" x14ac:dyDescent="0.25">
      <c r="A126">
        <f t="shared" si="13"/>
        <v>124</v>
      </c>
      <c r="B126">
        <v>123</v>
      </c>
      <c r="C126" t="str">
        <f t="shared" si="14"/>
        <v>INCOMPLETA</v>
      </c>
      <c r="D126" t="str">
        <f t="shared" si="15"/>
        <v>ERRO</v>
      </c>
      <c r="E126" t="str">
        <f t="shared" si="16"/>
        <v>PRODUTO_VAZIA</v>
      </c>
      <c r="F126" s="1" t="s">
        <v>122</v>
      </c>
      <c r="G126" t="s">
        <v>8</v>
      </c>
      <c r="J126" s="2">
        <v>443.85</v>
      </c>
      <c r="K126" s="3">
        <f t="shared" si="17"/>
        <v>443.85</v>
      </c>
      <c r="L126" t="s">
        <v>49</v>
      </c>
    </row>
    <row r="127" spans="1:12" x14ac:dyDescent="0.25">
      <c r="A127">
        <f t="shared" si="13"/>
        <v>125</v>
      </c>
      <c r="B127">
        <v>124</v>
      </c>
      <c r="C127" t="str">
        <f t="shared" si="14"/>
        <v>INCOMPLETA</v>
      </c>
      <c r="D127" t="str">
        <f t="shared" si="15"/>
        <v>ERRO</v>
      </c>
      <c r="E127" t="str">
        <f t="shared" si="16"/>
        <v>QUANTIDADE_NEGATIVA; PRECO_VAZIA</v>
      </c>
      <c r="F127" s="1" t="s">
        <v>14</v>
      </c>
      <c r="G127" t="s">
        <v>12</v>
      </c>
      <c r="H127" t="s">
        <v>19</v>
      </c>
      <c r="I127">
        <v>-3</v>
      </c>
      <c r="J127" s="2"/>
      <c r="K127" s="3" t="str">
        <f t="shared" si="17"/>
        <v/>
      </c>
      <c r="L127" t="s">
        <v>17</v>
      </c>
    </row>
    <row r="128" spans="1:12" x14ac:dyDescent="0.25">
      <c r="A128">
        <f t="shared" si="13"/>
        <v>126</v>
      </c>
      <c r="B128">
        <v>127</v>
      </c>
      <c r="C128" t="str">
        <f t="shared" si="14"/>
        <v>INCOMPLETA</v>
      </c>
      <c r="D128" t="str">
        <f t="shared" si="15"/>
        <v>ERRO</v>
      </c>
      <c r="E128" t="str">
        <f t="shared" si="16"/>
        <v>QUANTIDADE_VAZIA; PRECO_VAZIA; CLIENTE_VAZIA</v>
      </c>
      <c r="F128" s="1" t="s">
        <v>125</v>
      </c>
      <c r="H128" t="s">
        <v>9</v>
      </c>
      <c r="J128" s="2"/>
      <c r="K128" s="3" t="str">
        <f t="shared" si="17"/>
        <v/>
      </c>
      <c r="L128" t="s">
        <v>17</v>
      </c>
    </row>
    <row r="129" spans="1:12" x14ac:dyDescent="0.25">
      <c r="A129">
        <f t="shared" si="13"/>
        <v>127</v>
      </c>
      <c r="B129">
        <v>128</v>
      </c>
      <c r="C129" t="str">
        <f t="shared" si="14"/>
        <v>INCOMPLETA</v>
      </c>
      <c r="D129" t="str">
        <f t="shared" si="15"/>
        <v>ERRO</v>
      </c>
      <c r="E129" t="str">
        <f t="shared" si="16"/>
        <v>PRECO_VAZIA</v>
      </c>
      <c r="F129" s="1" t="s">
        <v>126</v>
      </c>
      <c r="G129" t="s">
        <v>12</v>
      </c>
      <c r="H129" t="s">
        <v>53</v>
      </c>
      <c r="J129" s="2"/>
      <c r="K129" s="3" t="str">
        <f t="shared" si="17"/>
        <v/>
      </c>
      <c r="L129" t="s">
        <v>21</v>
      </c>
    </row>
    <row r="130" spans="1:12" x14ac:dyDescent="0.25">
      <c r="A130">
        <f t="shared" si="13"/>
        <v>128</v>
      </c>
      <c r="B130">
        <v>129</v>
      </c>
      <c r="C130" t="str">
        <f t="shared" ref="C130:C161" si="18">IF(AND(B130&lt;&gt;"",F130&lt;&gt;"",G130&lt;&gt;"",H130&lt;&gt;"",I130&lt;&gt;"",K130&lt;&gt;"",L130&lt;&gt;""),"COMPLETA","INCOMPLETA")</f>
        <v>INCOMPLETA</v>
      </c>
      <c r="D130" t="str">
        <f t="shared" ref="D130:D161" si="19">IF(AND(C130="COMPLETA", ISNUMBER(I130), I130&gt;0, ISNUMBER(K130), K130&gt;0), "OK", "ERRO")</f>
        <v>ERRO</v>
      </c>
      <c r="E130" t="str">
        <f t="shared" ref="E130:E161" si="20">_xlfn.TEXTJOIN("; ", TRUE,
  IF(G130="", "QUANTIDADE_VAZIA", ""),
  IF(AND(ISNUMBER(I130), I130&lt;0), "QUANTIDADE_NEGATIVA", ""),
  IF(K130="", "PRECO_VAZIA", ""),
  IF(G130="", "CLIENTE_VAZIA", ""),
  IF(H130="", "PRODUTO_VAZIA", ""),
  IF(L130="", "CIDADE_VAZIA", ""),
  IF(F130="", "DATA_VAZIA", "")
)</f>
        <v/>
      </c>
      <c r="F130" s="1" t="s">
        <v>7</v>
      </c>
      <c r="G130" t="s">
        <v>26</v>
      </c>
      <c r="H130" t="s">
        <v>37</v>
      </c>
      <c r="J130" s="2">
        <v>298.54000000000002</v>
      </c>
      <c r="K130" s="3">
        <f t="shared" ref="K130:K161" si="21">IF(J130&gt;0, J130, "")</f>
        <v>298.54000000000002</v>
      </c>
      <c r="L130" t="s">
        <v>13</v>
      </c>
    </row>
    <row r="131" spans="1:12" x14ac:dyDescent="0.25">
      <c r="A131">
        <f t="shared" ref="A131:A194" si="22">ROW() -2</f>
        <v>129</v>
      </c>
      <c r="B131">
        <v>130</v>
      </c>
      <c r="C131" t="str">
        <f t="shared" si="18"/>
        <v>INCOMPLETA</v>
      </c>
      <c r="D131" t="str">
        <f t="shared" si="19"/>
        <v>ERRO</v>
      </c>
      <c r="E131" t="str">
        <f t="shared" si="20"/>
        <v>PRODUTO_VAZIA</v>
      </c>
      <c r="F131" s="1" t="s">
        <v>127</v>
      </c>
      <c r="G131" t="s">
        <v>33</v>
      </c>
      <c r="I131">
        <v>4</v>
      </c>
      <c r="J131" s="2" t="s">
        <v>35</v>
      </c>
      <c r="K131" s="3" t="str">
        <f t="shared" si="21"/>
        <v>R$ 30</v>
      </c>
      <c r="L131" t="s">
        <v>10</v>
      </c>
    </row>
    <row r="132" spans="1:12" x14ac:dyDescent="0.25">
      <c r="A132">
        <f t="shared" si="22"/>
        <v>130</v>
      </c>
      <c r="B132">
        <v>131</v>
      </c>
      <c r="C132" t="str">
        <f t="shared" si="18"/>
        <v>INCOMPLETA</v>
      </c>
      <c r="D132" t="str">
        <f t="shared" si="19"/>
        <v>ERRO</v>
      </c>
      <c r="E132" t="str">
        <f t="shared" si="20"/>
        <v>QUANTIDADE_VAZIA; CLIENTE_VAZIA</v>
      </c>
      <c r="F132" s="1" t="s">
        <v>128</v>
      </c>
      <c r="H132" t="s">
        <v>9</v>
      </c>
      <c r="I132">
        <v>20</v>
      </c>
      <c r="J132" s="2" t="s">
        <v>35</v>
      </c>
      <c r="K132" s="3" t="str">
        <f t="shared" si="21"/>
        <v>R$ 30</v>
      </c>
      <c r="L132" t="s">
        <v>49</v>
      </c>
    </row>
    <row r="133" spans="1:12" x14ac:dyDescent="0.25">
      <c r="A133">
        <f t="shared" si="22"/>
        <v>131</v>
      </c>
      <c r="B133">
        <v>132</v>
      </c>
      <c r="C133" t="str">
        <f t="shared" si="18"/>
        <v>INCOMPLETA</v>
      </c>
      <c r="D133" t="str">
        <f t="shared" si="19"/>
        <v>ERRO</v>
      </c>
      <c r="E133" t="str">
        <f t="shared" si="20"/>
        <v>QUANTIDADE_NEGATIVA; PRECO_VAZIA; CIDADE_VAZIA</v>
      </c>
      <c r="F133" s="1" t="s">
        <v>11</v>
      </c>
      <c r="G133" t="s">
        <v>12</v>
      </c>
      <c r="H133" t="s">
        <v>31</v>
      </c>
      <c r="I133">
        <v>-3</v>
      </c>
      <c r="J133" s="2">
        <v>-10</v>
      </c>
      <c r="K133" s="3" t="str">
        <f t="shared" si="21"/>
        <v/>
      </c>
    </row>
    <row r="134" spans="1:12" x14ac:dyDescent="0.25">
      <c r="A134">
        <f t="shared" si="22"/>
        <v>132</v>
      </c>
      <c r="B134">
        <v>133</v>
      </c>
      <c r="C134" t="str">
        <f t="shared" si="18"/>
        <v>INCOMPLETA</v>
      </c>
      <c r="D134" t="str">
        <f t="shared" si="19"/>
        <v>ERRO</v>
      </c>
      <c r="E134" t="str">
        <f t="shared" si="20"/>
        <v/>
      </c>
      <c r="F134" s="1" t="s">
        <v>98</v>
      </c>
      <c r="G134" t="s">
        <v>12</v>
      </c>
      <c r="H134" t="s">
        <v>19</v>
      </c>
      <c r="J134" s="2" t="s">
        <v>35</v>
      </c>
      <c r="K134" s="3" t="str">
        <f t="shared" si="21"/>
        <v>R$ 30</v>
      </c>
      <c r="L134" t="s">
        <v>10</v>
      </c>
    </row>
    <row r="135" spans="1:12" x14ac:dyDescent="0.25">
      <c r="A135">
        <f t="shared" si="22"/>
        <v>133</v>
      </c>
      <c r="B135">
        <v>134</v>
      </c>
      <c r="C135" t="str">
        <f t="shared" si="18"/>
        <v>INCOMPLETA</v>
      </c>
      <c r="D135" t="str">
        <f t="shared" si="19"/>
        <v>ERRO</v>
      </c>
      <c r="E135" t="str">
        <f t="shared" si="20"/>
        <v>PRECO_VAZIA</v>
      </c>
      <c r="F135" s="1" t="s">
        <v>129</v>
      </c>
      <c r="G135" t="s">
        <v>8</v>
      </c>
      <c r="H135" t="s">
        <v>47</v>
      </c>
      <c r="I135">
        <v>10</v>
      </c>
      <c r="J135" s="2">
        <v>-10</v>
      </c>
      <c r="K135" s="3" t="str">
        <f t="shared" si="21"/>
        <v/>
      </c>
      <c r="L135" t="s">
        <v>21</v>
      </c>
    </row>
    <row r="136" spans="1:12" x14ac:dyDescent="0.25">
      <c r="A136">
        <f t="shared" si="22"/>
        <v>134</v>
      </c>
      <c r="B136">
        <v>135</v>
      </c>
      <c r="C136" t="str">
        <f t="shared" si="18"/>
        <v>INCOMPLETA</v>
      </c>
      <c r="D136" t="str">
        <f t="shared" si="19"/>
        <v>ERRO</v>
      </c>
      <c r="E136" t="str">
        <f t="shared" si="20"/>
        <v>QUANTIDADE_VAZIA; QUANTIDADE_NEGATIVA; PRECO_VAZIA; CLIENTE_VAZIA</v>
      </c>
      <c r="F136" s="1" t="s">
        <v>130</v>
      </c>
      <c r="H136" t="s">
        <v>9</v>
      </c>
      <c r="I136">
        <v>-3</v>
      </c>
      <c r="J136" s="2">
        <v>-10</v>
      </c>
      <c r="K136" s="3" t="str">
        <f t="shared" si="21"/>
        <v/>
      </c>
      <c r="L136" t="s">
        <v>17</v>
      </c>
    </row>
    <row r="137" spans="1:12" x14ac:dyDescent="0.25">
      <c r="A137">
        <f t="shared" si="22"/>
        <v>135</v>
      </c>
      <c r="B137">
        <v>136</v>
      </c>
      <c r="C137" t="str">
        <f t="shared" si="18"/>
        <v>COMPLETA</v>
      </c>
      <c r="D137" t="str">
        <f t="shared" si="19"/>
        <v>ERRO</v>
      </c>
      <c r="E137" t="str">
        <f t="shared" si="20"/>
        <v>QUANTIDADE_NEGATIVA</v>
      </c>
      <c r="F137" s="1" t="s">
        <v>68</v>
      </c>
      <c r="G137" t="s">
        <v>33</v>
      </c>
      <c r="H137" t="s">
        <v>23</v>
      </c>
      <c r="I137">
        <v>-3</v>
      </c>
      <c r="J137" s="2" t="s">
        <v>35</v>
      </c>
      <c r="K137" s="3" t="str">
        <f t="shared" si="21"/>
        <v>R$ 30</v>
      </c>
      <c r="L137" t="s">
        <v>17</v>
      </c>
    </row>
    <row r="138" spans="1:12" x14ac:dyDescent="0.25">
      <c r="A138">
        <f t="shared" si="22"/>
        <v>136</v>
      </c>
      <c r="B138">
        <v>137</v>
      </c>
      <c r="C138" t="str">
        <f t="shared" si="18"/>
        <v>INCOMPLETA</v>
      </c>
      <c r="D138" t="str">
        <f t="shared" si="19"/>
        <v>ERRO</v>
      </c>
      <c r="E138" t="str">
        <f t="shared" si="20"/>
        <v>CIDADE_VAZIA</v>
      </c>
      <c r="F138" s="1" t="s">
        <v>131</v>
      </c>
      <c r="G138" t="s">
        <v>33</v>
      </c>
      <c r="H138" t="s">
        <v>23</v>
      </c>
      <c r="I138">
        <v>3</v>
      </c>
      <c r="J138" s="2">
        <v>55.68</v>
      </c>
      <c r="K138" s="3">
        <f t="shared" si="21"/>
        <v>55.68</v>
      </c>
    </row>
    <row r="139" spans="1:12" x14ac:dyDescent="0.25">
      <c r="A139">
        <f t="shared" si="22"/>
        <v>137</v>
      </c>
      <c r="B139">
        <v>138</v>
      </c>
      <c r="C139" t="str">
        <f t="shared" si="18"/>
        <v>INCOMPLETA</v>
      </c>
      <c r="D139" t="str">
        <f t="shared" si="19"/>
        <v>ERRO</v>
      </c>
      <c r="E139" t="str">
        <f t="shared" si="20"/>
        <v>QUANTIDADE_VAZIA; PRECO_VAZIA; CLIENTE_VAZIA</v>
      </c>
      <c r="F139" s="1" t="s">
        <v>132</v>
      </c>
      <c r="H139" t="s">
        <v>37</v>
      </c>
      <c r="I139">
        <v>10</v>
      </c>
      <c r="J139" s="2">
        <v>-10</v>
      </c>
      <c r="K139" s="3" t="str">
        <f t="shared" si="21"/>
        <v/>
      </c>
      <c r="L139" t="s">
        <v>17</v>
      </c>
    </row>
    <row r="140" spans="1:12" x14ac:dyDescent="0.25">
      <c r="A140">
        <f t="shared" si="22"/>
        <v>138</v>
      </c>
      <c r="B140">
        <v>139</v>
      </c>
      <c r="C140" t="str">
        <f t="shared" si="18"/>
        <v>INCOMPLETA</v>
      </c>
      <c r="D140" t="str">
        <f t="shared" si="19"/>
        <v>ERRO</v>
      </c>
      <c r="E140" t="str">
        <f t="shared" si="20"/>
        <v>PRECO_VAZIA</v>
      </c>
      <c r="F140" s="1" t="s">
        <v>77</v>
      </c>
      <c r="G140" t="s">
        <v>33</v>
      </c>
      <c r="H140" t="s">
        <v>37</v>
      </c>
      <c r="I140">
        <v>10</v>
      </c>
      <c r="J140" s="2"/>
      <c r="K140" s="3" t="str">
        <f t="shared" si="21"/>
        <v/>
      </c>
      <c r="L140" t="s">
        <v>13</v>
      </c>
    </row>
    <row r="141" spans="1:12" x14ac:dyDescent="0.25">
      <c r="A141">
        <f t="shared" si="22"/>
        <v>139</v>
      </c>
      <c r="B141">
        <v>140</v>
      </c>
      <c r="C141" t="str">
        <f t="shared" si="18"/>
        <v>COMPLETA</v>
      </c>
      <c r="D141" t="str">
        <f t="shared" si="19"/>
        <v>ERRO</v>
      </c>
      <c r="E141" t="str">
        <f t="shared" si="20"/>
        <v/>
      </c>
      <c r="F141" s="1" t="s">
        <v>133</v>
      </c>
      <c r="G141" t="s">
        <v>12</v>
      </c>
      <c r="H141" t="s">
        <v>19</v>
      </c>
      <c r="I141">
        <v>10</v>
      </c>
      <c r="J141" s="2" t="s">
        <v>35</v>
      </c>
      <c r="K141" s="3" t="str">
        <f t="shared" si="21"/>
        <v>R$ 30</v>
      </c>
      <c r="L141" t="s">
        <v>10</v>
      </c>
    </row>
    <row r="142" spans="1:12" x14ac:dyDescent="0.25">
      <c r="A142">
        <f t="shared" si="22"/>
        <v>140</v>
      </c>
      <c r="B142">
        <v>141</v>
      </c>
      <c r="C142" t="str">
        <f t="shared" si="18"/>
        <v>INCOMPLETA</v>
      </c>
      <c r="D142" t="str">
        <f t="shared" si="19"/>
        <v>ERRO</v>
      </c>
      <c r="E142" t="str">
        <f t="shared" si="20"/>
        <v>QUANTIDADE_VAZIA; CLIENTE_VAZIA; PRODUTO_VAZIA; CIDADE_VAZIA</v>
      </c>
      <c r="F142" s="1" t="s">
        <v>97</v>
      </c>
      <c r="I142">
        <v>10</v>
      </c>
      <c r="J142" s="2" t="s">
        <v>35</v>
      </c>
      <c r="K142" s="3" t="str">
        <f t="shared" si="21"/>
        <v>R$ 30</v>
      </c>
    </row>
    <row r="143" spans="1:12" x14ac:dyDescent="0.25">
      <c r="A143">
        <f t="shared" si="22"/>
        <v>141</v>
      </c>
      <c r="B143">
        <v>142</v>
      </c>
      <c r="C143" t="str">
        <f t="shared" si="18"/>
        <v>INCOMPLETA</v>
      </c>
      <c r="D143" t="str">
        <f t="shared" si="19"/>
        <v>ERRO</v>
      </c>
      <c r="E143" t="str">
        <f t="shared" si="20"/>
        <v>PRECO_VAZIA</v>
      </c>
      <c r="F143" s="1" t="s">
        <v>48</v>
      </c>
      <c r="G143" t="s">
        <v>8</v>
      </c>
      <c r="H143" t="s">
        <v>37</v>
      </c>
      <c r="J143" s="2">
        <v>-10</v>
      </c>
      <c r="K143" s="3" t="str">
        <f t="shared" si="21"/>
        <v/>
      </c>
      <c r="L143" t="s">
        <v>21</v>
      </c>
    </row>
    <row r="144" spans="1:12" x14ac:dyDescent="0.25">
      <c r="A144">
        <f t="shared" si="22"/>
        <v>142</v>
      </c>
      <c r="B144">
        <v>143</v>
      </c>
      <c r="C144" t="str">
        <f t="shared" si="18"/>
        <v>INCOMPLETA</v>
      </c>
      <c r="D144" t="str">
        <f t="shared" si="19"/>
        <v>ERRO</v>
      </c>
      <c r="E144" t="str">
        <f t="shared" si="20"/>
        <v>PRECO_VAZIA</v>
      </c>
      <c r="F144" s="1" t="s">
        <v>134</v>
      </c>
      <c r="G144" t="s">
        <v>12</v>
      </c>
      <c r="H144" t="s">
        <v>23</v>
      </c>
      <c r="J144" s="2">
        <v>-10</v>
      </c>
      <c r="K144" s="3" t="str">
        <f t="shared" si="21"/>
        <v/>
      </c>
      <c r="L144" t="s">
        <v>17</v>
      </c>
    </row>
    <row r="145" spans="1:12" x14ac:dyDescent="0.25">
      <c r="A145">
        <f t="shared" si="22"/>
        <v>143</v>
      </c>
      <c r="B145">
        <v>144</v>
      </c>
      <c r="C145" t="str">
        <f t="shared" si="18"/>
        <v>INCOMPLETA</v>
      </c>
      <c r="D145" t="str">
        <f t="shared" si="19"/>
        <v>ERRO</v>
      </c>
      <c r="E145" t="str">
        <f t="shared" si="20"/>
        <v>CIDADE_VAZIA</v>
      </c>
      <c r="F145" s="1" t="s">
        <v>135</v>
      </c>
      <c r="G145" t="s">
        <v>8</v>
      </c>
      <c r="H145" t="s">
        <v>23</v>
      </c>
      <c r="J145" s="2">
        <v>87.13</v>
      </c>
      <c r="K145" s="3">
        <f t="shared" si="21"/>
        <v>87.13</v>
      </c>
    </row>
    <row r="146" spans="1:12" x14ac:dyDescent="0.25">
      <c r="A146">
        <f t="shared" si="22"/>
        <v>144</v>
      </c>
      <c r="B146">
        <v>146</v>
      </c>
      <c r="C146" t="str">
        <f t="shared" si="18"/>
        <v>COMPLETA</v>
      </c>
      <c r="D146" t="str">
        <f t="shared" si="19"/>
        <v>ERRO</v>
      </c>
      <c r="E146" t="str">
        <f t="shared" si="20"/>
        <v>QUANTIDADE_NEGATIVA</v>
      </c>
      <c r="F146" s="1" t="s">
        <v>73</v>
      </c>
      <c r="G146" t="s">
        <v>12</v>
      </c>
      <c r="H146" t="s">
        <v>53</v>
      </c>
      <c r="I146">
        <v>-3</v>
      </c>
      <c r="J146" s="2" t="s">
        <v>35</v>
      </c>
      <c r="K146" s="3" t="str">
        <f t="shared" si="21"/>
        <v>R$ 30</v>
      </c>
      <c r="L146" t="s">
        <v>21</v>
      </c>
    </row>
    <row r="147" spans="1:12" x14ac:dyDescent="0.25">
      <c r="A147">
        <f t="shared" si="22"/>
        <v>145</v>
      </c>
      <c r="B147">
        <v>147</v>
      </c>
      <c r="C147" t="str">
        <f t="shared" si="18"/>
        <v>INCOMPLETA</v>
      </c>
      <c r="D147" t="str">
        <f t="shared" si="19"/>
        <v>ERRO</v>
      </c>
      <c r="E147" t="str">
        <f t="shared" si="20"/>
        <v>PRECO_VAZIA</v>
      </c>
      <c r="F147" s="1" t="s">
        <v>136</v>
      </c>
      <c r="G147" t="s">
        <v>12</v>
      </c>
      <c r="H147" t="s">
        <v>37</v>
      </c>
      <c r="I147">
        <v>10</v>
      </c>
      <c r="J147" s="2"/>
      <c r="K147" s="3" t="str">
        <f t="shared" si="21"/>
        <v/>
      </c>
      <c r="L147" t="s">
        <v>17</v>
      </c>
    </row>
    <row r="148" spans="1:12" x14ac:dyDescent="0.25">
      <c r="A148">
        <f t="shared" si="22"/>
        <v>146</v>
      </c>
      <c r="B148">
        <v>148</v>
      </c>
      <c r="C148" t="str">
        <f t="shared" si="18"/>
        <v>INCOMPLETA</v>
      </c>
      <c r="D148" t="str">
        <f t="shared" si="19"/>
        <v>ERRO</v>
      </c>
      <c r="E148" t="str">
        <f t="shared" si="20"/>
        <v>PRECO_VAZIA</v>
      </c>
      <c r="F148" s="1" t="s">
        <v>85</v>
      </c>
      <c r="G148" t="s">
        <v>12</v>
      </c>
      <c r="H148" t="s">
        <v>31</v>
      </c>
      <c r="J148" s="2"/>
      <c r="K148" s="3" t="str">
        <f t="shared" si="21"/>
        <v/>
      </c>
      <c r="L148" t="s">
        <v>10</v>
      </c>
    </row>
    <row r="149" spans="1:12" x14ac:dyDescent="0.25">
      <c r="A149">
        <f t="shared" si="22"/>
        <v>147</v>
      </c>
      <c r="B149">
        <v>149</v>
      </c>
      <c r="C149" t="str">
        <f t="shared" si="18"/>
        <v>INCOMPLETA</v>
      </c>
      <c r="D149" t="str">
        <f t="shared" si="19"/>
        <v>ERRO</v>
      </c>
      <c r="E149" t="str">
        <f t="shared" si="20"/>
        <v>PRECO_VAZIA</v>
      </c>
      <c r="F149" s="1" t="s">
        <v>83</v>
      </c>
      <c r="G149" t="s">
        <v>8</v>
      </c>
      <c r="H149" t="s">
        <v>23</v>
      </c>
      <c r="I149">
        <v>13</v>
      </c>
      <c r="J149" s="2">
        <v>-10</v>
      </c>
      <c r="K149" s="3" t="str">
        <f t="shared" si="21"/>
        <v/>
      </c>
      <c r="L149" t="s">
        <v>21</v>
      </c>
    </row>
    <row r="150" spans="1:12" x14ac:dyDescent="0.25">
      <c r="A150">
        <f t="shared" si="22"/>
        <v>148</v>
      </c>
      <c r="B150">
        <v>150</v>
      </c>
      <c r="C150" t="str">
        <f t="shared" si="18"/>
        <v>COMPLETA</v>
      </c>
      <c r="D150" t="str">
        <f t="shared" si="19"/>
        <v>OK</v>
      </c>
      <c r="E150" t="str">
        <f t="shared" si="20"/>
        <v/>
      </c>
      <c r="F150" t="s">
        <v>101</v>
      </c>
      <c r="G150" t="s">
        <v>33</v>
      </c>
      <c r="H150" t="s">
        <v>47</v>
      </c>
      <c r="I150">
        <v>10</v>
      </c>
      <c r="J150">
        <v>66.430000000000007</v>
      </c>
      <c r="K150" s="3">
        <f t="shared" si="21"/>
        <v>66.430000000000007</v>
      </c>
      <c r="L150" t="s">
        <v>17</v>
      </c>
    </row>
    <row r="151" spans="1:12" x14ac:dyDescent="0.25">
      <c r="A151">
        <f t="shared" si="22"/>
        <v>149</v>
      </c>
      <c r="B151">
        <v>151</v>
      </c>
      <c r="C151" t="str">
        <f t="shared" si="18"/>
        <v>INCOMPLETA</v>
      </c>
      <c r="D151" t="str">
        <f t="shared" si="19"/>
        <v>ERRO</v>
      </c>
      <c r="E151" t="str">
        <f t="shared" si="20"/>
        <v>QUANTIDADE_NEGATIVA; PRECO_VAZIA</v>
      </c>
      <c r="F151" s="1" t="s">
        <v>116</v>
      </c>
      <c r="G151" t="s">
        <v>33</v>
      </c>
      <c r="H151" t="s">
        <v>19</v>
      </c>
      <c r="I151">
        <v>-3</v>
      </c>
      <c r="J151" s="2"/>
      <c r="K151" s="3" t="str">
        <f t="shared" si="21"/>
        <v/>
      </c>
      <c r="L151" t="s">
        <v>49</v>
      </c>
    </row>
    <row r="152" spans="1:12" x14ac:dyDescent="0.25">
      <c r="A152">
        <f t="shared" si="22"/>
        <v>150</v>
      </c>
      <c r="B152">
        <v>152</v>
      </c>
      <c r="C152" t="str">
        <f t="shared" si="18"/>
        <v>INCOMPLETA</v>
      </c>
      <c r="D152" t="str">
        <f t="shared" si="19"/>
        <v>ERRO</v>
      </c>
      <c r="E152" t="str">
        <f t="shared" si="20"/>
        <v>PRECO_VAZIA</v>
      </c>
      <c r="F152" s="1" t="s">
        <v>137</v>
      </c>
      <c r="G152" t="s">
        <v>12</v>
      </c>
      <c r="H152" t="s">
        <v>47</v>
      </c>
      <c r="I152">
        <v>10</v>
      </c>
      <c r="J152" s="2"/>
      <c r="K152" s="3" t="str">
        <f t="shared" si="21"/>
        <v/>
      </c>
      <c r="L152" t="s">
        <v>21</v>
      </c>
    </row>
    <row r="153" spans="1:12" x14ac:dyDescent="0.25">
      <c r="A153">
        <f t="shared" si="22"/>
        <v>151</v>
      </c>
      <c r="B153">
        <v>153</v>
      </c>
      <c r="C153" t="str">
        <f t="shared" si="18"/>
        <v>INCOMPLETA</v>
      </c>
      <c r="D153" t="str">
        <f t="shared" si="19"/>
        <v>ERRO</v>
      </c>
      <c r="E153" t="str">
        <f t="shared" si="20"/>
        <v>QUANTIDADE_VAZIA; PRECO_VAZIA; CLIENTE_VAZIA; PRODUTO_VAZIA</v>
      </c>
      <c r="F153" s="1" t="s">
        <v>130</v>
      </c>
      <c r="I153">
        <v>10</v>
      </c>
      <c r="J153" s="2"/>
      <c r="K153" s="3" t="str">
        <f t="shared" si="21"/>
        <v/>
      </c>
      <c r="L153" t="s">
        <v>13</v>
      </c>
    </row>
    <row r="154" spans="1:12" x14ac:dyDescent="0.25">
      <c r="A154">
        <f t="shared" si="22"/>
        <v>152</v>
      </c>
      <c r="B154">
        <v>154</v>
      </c>
      <c r="C154" t="str">
        <f t="shared" si="18"/>
        <v>INCOMPLETA</v>
      </c>
      <c r="D154" t="str">
        <f t="shared" si="19"/>
        <v>ERRO</v>
      </c>
      <c r="E154" t="str">
        <f t="shared" si="20"/>
        <v/>
      </c>
      <c r="F154" s="1" t="s">
        <v>138</v>
      </c>
      <c r="G154" t="s">
        <v>26</v>
      </c>
      <c r="H154" t="s">
        <v>15</v>
      </c>
      <c r="J154" s="2">
        <v>382.51</v>
      </c>
      <c r="K154" s="3">
        <f t="shared" si="21"/>
        <v>382.51</v>
      </c>
      <c r="L154" t="s">
        <v>13</v>
      </c>
    </row>
    <row r="155" spans="1:12" x14ac:dyDescent="0.25">
      <c r="A155">
        <f t="shared" si="22"/>
        <v>153</v>
      </c>
      <c r="B155">
        <v>155</v>
      </c>
      <c r="C155" t="str">
        <f t="shared" si="18"/>
        <v>INCOMPLETA</v>
      </c>
      <c r="D155" t="str">
        <f t="shared" si="19"/>
        <v>ERRO</v>
      </c>
      <c r="E155" t="str">
        <f t="shared" si="20"/>
        <v>QUANTIDADE_NEGATIVA; CIDADE_VAZIA</v>
      </c>
      <c r="F155" s="1" t="s">
        <v>139</v>
      </c>
      <c r="G155" t="s">
        <v>33</v>
      </c>
      <c r="H155" t="s">
        <v>31</v>
      </c>
      <c r="I155">
        <v>-3</v>
      </c>
      <c r="J155" s="2" t="s">
        <v>35</v>
      </c>
      <c r="K155" s="3" t="str">
        <f t="shared" si="21"/>
        <v>R$ 30</v>
      </c>
    </row>
    <row r="156" spans="1:12" x14ac:dyDescent="0.25">
      <c r="A156">
        <f t="shared" si="22"/>
        <v>154</v>
      </c>
      <c r="B156">
        <v>156</v>
      </c>
      <c r="C156" t="str">
        <f t="shared" si="18"/>
        <v>COMPLETA</v>
      </c>
      <c r="D156" t="str">
        <f t="shared" si="19"/>
        <v>OK</v>
      </c>
      <c r="E156" t="str">
        <f t="shared" si="20"/>
        <v/>
      </c>
      <c r="F156" t="s">
        <v>42</v>
      </c>
      <c r="G156" t="s">
        <v>12</v>
      </c>
      <c r="H156" t="s">
        <v>31</v>
      </c>
      <c r="I156">
        <v>10</v>
      </c>
      <c r="J156">
        <v>400.2</v>
      </c>
      <c r="K156" s="3">
        <f t="shared" si="21"/>
        <v>400.2</v>
      </c>
      <c r="L156" t="s">
        <v>17</v>
      </c>
    </row>
    <row r="157" spans="1:12" x14ac:dyDescent="0.25">
      <c r="A157">
        <f t="shared" si="22"/>
        <v>155</v>
      </c>
      <c r="B157">
        <v>157</v>
      </c>
      <c r="C157" t="str">
        <f t="shared" si="18"/>
        <v>COMPLETA</v>
      </c>
      <c r="D157" t="str">
        <f t="shared" si="19"/>
        <v>ERRO</v>
      </c>
      <c r="E157" t="str">
        <f t="shared" si="20"/>
        <v/>
      </c>
      <c r="F157" s="1" t="s">
        <v>135</v>
      </c>
      <c r="G157" t="s">
        <v>33</v>
      </c>
      <c r="H157" t="s">
        <v>31</v>
      </c>
      <c r="I157">
        <v>2</v>
      </c>
      <c r="J157" s="2" t="s">
        <v>35</v>
      </c>
      <c r="K157" s="3" t="str">
        <f t="shared" si="21"/>
        <v>R$ 30</v>
      </c>
      <c r="L157" t="s">
        <v>21</v>
      </c>
    </row>
    <row r="158" spans="1:12" x14ac:dyDescent="0.25">
      <c r="A158">
        <f t="shared" si="22"/>
        <v>156</v>
      </c>
      <c r="B158">
        <v>158</v>
      </c>
      <c r="C158" t="str">
        <f t="shared" si="18"/>
        <v>INCOMPLETA</v>
      </c>
      <c r="D158" t="str">
        <f t="shared" si="19"/>
        <v>ERRO</v>
      </c>
      <c r="E158" t="str">
        <f t="shared" si="20"/>
        <v>QUANTIDADE_VAZIA; QUANTIDADE_NEGATIVA; CLIENTE_VAZIA; PRODUTO_VAZIA</v>
      </c>
      <c r="F158" s="1" t="s">
        <v>91</v>
      </c>
      <c r="I158">
        <v>-3</v>
      </c>
      <c r="J158" s="2">
        <v>294.36</v>
      </c>
      <c r="K158" s="3">
        <f t="shared" si="21"/>
        <v>294.36</v>
      </c>
      <c r="L158" t="s">
        <v>49</v>
      </c>
    </row>
    <row r="159" spans="1:12" x14ac:dyDescent="0.25">
      <c r="A159">
        <f t="shared" si="22"/>
        <v>157</v>
      </c>
      <c r="B159">
        <v>159</v>
      </c>
      <c r="C159" t="str">
        <f t="shared" si="18"/>
        <v>COMPLETA</v>
      </c>
      <c r="D159" t="str">
        <f t="shared" si="19"/>
        <v>ERRO</v>
      </c>
      <c r="E159" t="str">
        <f t="shared" si="20"/>
        <v>QUANTIDADE_NEGATIVA</v>
      </c>
      <c r="F159" s="1" t="s">
        <v>45</v>
      </c>
      <c r="G159" t="s">
        <v>26</v>
      </c>
      <c r="H159" t="s">
        <v>19</v>
      </c>
      <c r="I159">
        <v>-3</v>
      </c>
      <c r="J159" s="2">
        <v>255.67</v>
      </c>
      <c r="K159" s="3">
        <f t="shared" si="21"/>
        <v>255.67</v>
      </c>
      <c r="L159" t="s">
        <v>49</v>
      </c>
    </row>
    <row r="160" spans="1:12" x14ac:dyDescent="0.25">
      <c r="A160">
        <f t="shared" si="22"/>
        <v>158</v>
      </c>
      <c r="B160">
        <v>160</v>
      </c>
      <c r="C160" t="str">
        <f t="shared" si="18"/>
        <v>INCOMPLETA</v>
      </c>
      <c r="D160" t="str">
        <f t="shared" si="19"/>
        <v>ERRO</v>
      </c>
      <c r="E160" t="str">
        <f t="shared" si="20"/>
        <v>PRECO_VAZIA; PRODUTO_VAZIA</v>
      </c>
      <c r="F160" s="1" t="s">
        <v>140</v>
      </c>
      <c r="G160" t="s">
        <v>12</v>
      </c>
      <c r="I160">
        <v>6</v>
      </c>
      <c r="J160" s="2">
        <v>-10</v>
      </c>
      <c r="K160" s="3" t="str">
        <f t="shared" si="21"/>
        <v/>
      </c>
      <c r="L160" t="s">
        <v>49</v>
      </c>
    </row>
    <row r="161" spans="1:12" x14ac:dyDescent="0.25">
      <c r="A161">
        <f t="shared" si="22"/>
        <v>159</v>
      </c>
      <c r="B161">
        <v>161</v>
      </c>
      <c r="C161" t="str">
        <f t="shared" si="18"/>
        <v>INCOMPLETA</v>
      </c>
      <c r="D161" t="str">
        <f t="shared" si="19"/>
        <v>ERRO</v>
      </c>
      <c r="E161" t="str">
        <f t="shared" si="20"/>
        <v>CIDADE_VAZIA</v>
      </c>
      <c r="F161" s="1" t="s">
        <v>141</v>
      </c>
      <c r="G161" t="s">
        <v>26</v>
      </c>
      <c r="H161" t="s">
        <v>19</v>
      </c>
      <c r="I161">
        <v>10</v>
      </c>
      <c r="J161" s="2" t="s">
        <v>35</v>
      </c>
      <c r="K161" s="3" t="str">
        <f t="shared" si="21"/>
        <v>R$ 30</v>
      </c>
    </row>
    <row r="162" spans="1:12" x14ac:dyDescent="0.25">
      <c r="A162">
        <f t="shared" si="22"/>
        <v>160</v>
      </c>
      <c r="B162">
        <v>162</v>
      </c>
      <c r="C162" t="str">
        <f t="shared" ref="C162:C193" si="23">IF(AND(B162&lt;&gt;"",F162&lt;&gt;"",G162&lt;&gt;"",H162&lt;&gt;"",I162&lt;&gt;"",K162&lt;&gt;"",L162&lt;&gt;""),"COMPLETA","INCOMPLETA")</f>
        <v>INCOMPLETA</v>
      </c>
      <c r="D162" t="str">
        <f t="shared" ref="D162:D193" si="24">IF(AND(C162="COMPLETA", ISNUMBER(I162), I162&gt;0, ISNUMBER(K162), K162&gt;0), "OK", "ERRO")</f>
        <v>ERRO</v>
      </c>
      <c r="E162" t="str">
        <f t="shared" ref="E162:E193" si="25">_xlfn.TEXTJOIN("; ", TRUE,
  IF(G162="", "QUANTIDADE_VAZIA", ""),
  IF(AND(ISNUMBER(I162), I162&lt;0), "QUANTIDADE_NEGATIVA", ""),
  IF(K162="", "PRECO_VAZIA", ""),
  IF(G162="", "CLIENTE_VAZIA", ""),
  IF(H162="", "PRODUTO_VAZIA", ""),
  IF(L162="", "CIDADE_VAZIA", ""),
  IF(F162="", "DATA_VAZIA", "")
)</f>
        <v>PRECO_VAZIA</v>
      </c>
      <c r="F162" s="1" t="s">
        <v>76</v>
      </c>
      <c r="G162" t="s">
        <v>8</v>
      </c>
      <c r="H162" t="s">
        <v>23</v>
      </c>
      <c r="I162">
        <v>11</v>
      </c>
      <c r="J162" s="2">
        <v>-10</v>
      </c>
      <c r="K162" s="3" t="str">
        <f t="shared" ref="K162:K193" si="26">IF(J162&gt;0, J162, "")</f>
        <v/>
      </c>
      <c r="L162" t="s">
        <v>17</v>
      </c>
    </row>
    <row r="163" spans="1:12" x14ac:dyDescent="0.25">
      <c r="A163">
        <f t="shared" si="22"/>
        <v>161</v>
      </c>
      <c r="B163">
        <v>163</v>
      </c>
      <c r="C163" t="str">
        <f t="shared" si="23"/>
        <v>INCOMPLETA</v>
      </c>
      <c r="D163" t="str">
        <f t="shared" si="24"/>
        <v>ERRO</v>
      </c>
      <c r="E163" t="str">
        <f t="shared" si="25"/>
        <v>QUANTIDADE_VAZIA; PRECO_VAZIA; CLIENTE_VAZIA</v>
      </c>
      <c r="F163" s="1" t="s">
        <v>142</v>
      </c>
      <c r="H163" t="s">
        <v>15</v>
      </c>
      <c r="I163">
        <v>11</v>
      </c>
      <c r="J163" s="2"/>
      <c r="K163" s="3" t="str">
        <f t="shared" si="26"/>
        <v/>
      </c>
      <c r="L163" t="s">
        <v>17</v>
      </c>
    </row>
    <row r="164" spans="1:12" x14ac:dyDescent="0.25">
      <c r="A164">
        <f t="shared" si="22"/>
        <v>162</v>
      </c>
      <c r="B164">
        <v>164</v>
      </c>
      <c r="C164" t="str">
        <f t="shared" si="23"/>
        <v>INCOMPLETA</v>
      </c>
      <c r="D164" t="str">
        <f t="shared" si="24"/>
        <v>ERRO</v>
      </c>
      <c r="E164" t="str">
        <f t="shared" si="25"/>
        <v>PRECO_VAZIA; CIDADE_VAZIA</v>
      </c>
      <c r="F164" s="1" t="s">
        <v>143</v>
      </c>
      <c r="G164" t="s">
        <v>33</v>
      </c>
      <c r="H164" t="s">
        <v>15</v>
      </c>
      <c r="I164">
        <v>20</v>
      </c>
      <c r="J164" s="2">
        <v>-10</v>
      </c>
      <c r="K164" s="3" t="str">
        <f t="shared" si="26"/>
        <v/>
      </c>
    </row>
    <row r="165" spans="1:12" x14ac:dyDescent="0.25">
      <c r="A165">
        <f t="shared" si="22"/>
        <v>163</v>
      </c>
      <c r="B165">
        <v>165</v>
      </c>
      <c r="C165" t="str">
        <f t="shared" si="23"/>
        <v>INCOMPLETA</v>
      </c>
      <c r="D165" t="str">
        <f t="shared" si="24"/>
        <v>ERRO</v>
      </c>
      <c r="E165" t="str">
        <f t="shared" si="25"/>
        <v>QUANTIDADE_VAZIA; CLIENTE_VAZIA</v>
      </c>
      <c r="F165" s="1" t="s">
        <v>127</v>
      </c>
      <c r="H165" t="s">
        <v>23</v>
      </c>
      <c r="I165">
        <v>10</v>
      </c>
      <c r="J165" s="2" t="s">
        <v>35</v>
      </c>
      <c r="K165" s="3" t="str">
        <f t="shared" si="26"/>
        <v>R$ 30</v>
      </c>
      <c r="L165" t="s">
        <v>13</v>
      </c>
    </row>
    <row r="166" spans="1:12" x14ac:dyDescent="0.25">
      <c r="A166">
        <f t="shared" si="22"/>
        <v>164</v>
      </c>
      <c r="B166">
        <v>165</v>
      </c>
      <c r="C166" t="str">
        <f t="shared" si="23"/>
        <v>COMPLETA</v>
      </c>
      <c r="D166" t="str">
        <f t="shared" si="24"/>
        <v>ERRO</v>
      </c>
      <c r="E166" t="str">
        <f t="shared" si="25"/>
        <v/>
      </c>
      <c r="F166" s="1" t="s">
        <v>148</v>
      </c>
      <c r="G166" t="s">
        <v>8</v>
      </c>
      <c r="H166" t="s">
        <v>19</v>
      </c>
      <c r="I166">
        <v>10</v>
      </c>
      <c r="J166" s="2" t="s">
        <v>35</v>
      </c>
      <c r="K166" s="3" t="str">
        <f t="shared" si="26"/>
        <v>R$ 30</v>
      </c>
      <c r="L166" t="s">
        <v>49</v>
      </c>
    </row>
    <row r="167" spans="1:12" x14ac:dyDescent="0.25">
      <c r="A167">
        <f t="shared" si="22"/>
        <v>165</v>
      </c>
      <c r="B167">
        <v>166</v>
      </c>
      <c r="C167" t="str">
        <f t="shared" si="23"/>
        <v>INCOMPLETA</v>
      </c>
      <c r="D167" t="str">
        <f t="shared" si="24"/>
        <v>ERRO</v>
      </c>
      <c r="E167" t="str">
        <f t="shared" si="25"/>
        <v/>
      </c>
      <c r="F167" s="1" t="s">
        <v>140</v>
      </c>
      <c r="G167" t="s">
        <v>33</v>
      </c>
      <c r="H167" t="s">
        <v>9</v>
      </c>
      <c r="J167" s="2" t="s">
        <v>35</v>
      </c>
      <c r="K167" s="3" t="str">
        <f t="shared" si="26"/>
        <v>R$ 30</v>
      </c>
      <c r="L167" t="s">
        <v>21</v>
      </c>
    </row>
    <row r="168" spans="1:12" x14ac:dyDescent="0.25">
      <c r="A168">
        <f t="shared" si="22"/>
        <v>166</v>
      </c>
      <c r="B168">
        <v>166</v>
      </c>
      <c r="C168" t="str">
        <f t="shared" si="23"/>
        <v>INCOMPLETA</v>
      </c>
      <c r="D168" t="str">
        <f t="shared" si="24"/>
        <v>ERRO</v>
      </c>
      <c r="E168" t="str">
        <f t="shared" si="25"/>
        <v>QUANTIDADE_VAZIA; PRECO_VAZIA; CLIENTE_VAZIA</v>
      </c>
      <c r="F168" s="1" t="s">
        <v>118</v>
      </c>
      <c r="H168" t="s">
        <v>37</v>
      </c>
      <c r="J168" s="2"/>
      <c r="K168" s="3" t="str">
        <f t="shared" si="26"/>
        <v/>
      </c>
      <c r="L168" t="s">
        <v>13</v>
      </c>
    </row>
    <row r="169" spans="1:12" x14ac:dyDescent="0.25">
      <c r="A169">
        <f t="shared" si="22"/>
        <v>167</v>
      </c>
      <c r="B169">
        <v>168</v>
      </c>
      <c r="C169" t="str">
        <f t="shared" si="23"/>
        <v>INCOMPLETA</v>
      </c>
      <c r="D169" t="str">
        <f t="shared" si="24"/>
        <v>ERRO</v>
      </c>
      <c r="E169" t="str">
        <f t="shared" si="25"/>
        <v>QUANTIDADE_VAZIA; PRECO_VAZIA; CLIENTE_VAZIA</v>
      </c>
      <c r="F169" s="1" t="s">
        <v>103</v>
      </c>
      <c r="H169" t="s">
        <v>15</v>
      </c>
      <c r="I169">
        <v>15</v>
      </c>
      <c r="J169" s="2"/>
      <c r="K169" s="3" t="str">
        <f t="shared" si="26"/>
        <v/>
      </c>
      <c r="L169" t="s">
        <v>49</v>
      </c>
    </row>
    <row r="170" spans="1:12" x14ac:dyDescent="0.25">
      <c r="A170">
        <f t="shared" si="22"/>
        <v>168</v>
      </c>
      <c r="B170">
        <v>169</v>
      </c>
      <c r="C170" t="str">
        <f t="shared" si="23"/>
        <v>INCOMPLETA</v>
      </c>
      <c r="D170" t="str">
        <f t="shared" si="24"/>
        <v>ERRO</v>
      </c>
      <c r="E170" t="str">
        <f t="shared" si="25"/>
        <v>PRECO_VAZIA</v>
      </c>
      <c r="F170" s="1" t="s">
        <v>77</v>
      </c>
      <c r="G170" t="s">
        <v>33</v>
      </c>
      <c r="H170" t="s">
        <v>9</v>
      </c>
      <c r="J170" s="2">
        <v>-10</v>
      </c>
      <c r="K170" s="3" t="str">
        <f t="shared" si="26"/>
        <v/>
      </c>
      <c r="L170" t="s">
        <v>13</v>
      </c>
    </row>
    <row r="171" spans="1:12" x14ac:dyDescent="0.25">
      <c r="A171">
        <f t="shared" si="22"/>
        <v>169</v>
      </c>
      <c r="B171">
        <v>170</v>
      </c>
      <c r="C171" t="str">
        <f t="shared" si="23"/>
        <v>INCOMPLETA</v>
      </c>
      <c r="D171" t="str">
        <f t="shared" si="24"/>
        <v>ERRO</v>
      </c>
      <c r="E171" t="str">
        <f t="shared" si="25"/>
        <v>QUANTIDADE_NEGATIVA; PRECO_VAZIA</v>
      </c>
      <c r="F171" s="1" t="s">
        <v>45</v>
      </c>
      <c r="G171" t="s">
        <v>33</v>
      </c>
      <c r="H171" t="s">
        <v>31</v>
      </c>
      <c r="I171">
        <v>-3</v>
      </c>
      <c r="J171" s="2">
        <v>-10</v>
      </c>
      <c r="K171" s="3" t="str">
        <f t="shared" si="26"/>
        <v/>
      </c>
      <c r="L171" t="s">
        <v>13</v>
      </c>
    </row>
    <row r="172" spans="1:12" x14ac:dyDescent="0.25">
      <c r="A172">
        <f t="shared" si="22"/>
        <v>170</v>
      </c>
      <c r="B172">
        <v>171</v>
      </c>
      <c r="C172" t="str">
        <f t="shared" si="23"/>
        <v>INCOMPLETA</v>
      </c>
      <c r="D172" t="str">
        <f t="shared" si="24"/>
        <v>ERRO</v>
      </c>
      <c r="E172" t="str">
        <f t="shared" si="25"/>
        <v>QUANTIDADE_NEGATIVA; CIDADE_VAZIA</v>
      </c>
      <c r="F172" s="1" t="s">
        <v>100</v>
      </c>
      <c r="G172" t="s">
        <v>26</v>
      </c>
      <c r="H172" t="s">
        <v>53</v>
      </c>
      <c r="I172">
        <v>-3</v>
      </c>
      <c r="J172" s="2">
        <v>438.32</v>
      </c>
      <c r="K172" s="3">
        <f t="shared" si="26"/>
        <v>438.32</v>
      </c>
    </row>
    <row r="173" spans="1:12" x14ac:dyDescent="0.25">
      <c r="A173">
        <f t="shared" si="22"/>
        <v>171</v>
      </c>
      <c r="B173">
        <v>172</v>
      </c>
      <c r="C173" t="str">
        <f t="shared" si="23"/>
        <v>INCOMPLETA</v>
      </c>
      <c r="D173" t="str">
        <f t="shared" si="24"/>
        <v>ERRO</v>
      </c>
      <c r="E173" t="str">
        <f t="shared" si="25"/>
        <v>PRECO_VAZIA</v>
      </c>
      <c r="F173" s="1" t="s">
        <v>71</v>
      </c>
      <c r="G173" t="s">
        <v>8</v>
      </c>
      <c r="H173" t="s">
        <v>23</v>
      </c>
      <c r="I173">
        <v>10</v>
      </c>
      <c r="J173" s="2"/>
      <c r="K173" s="3" t="str">
        <f t="shared" si="26"/>
        <v/>
      </c>
      <c r="L173" t="s">
        <v>49</v>
      </c>
    </row>
    <row r="174" spans="1:12" x14ac:dyDescent="0.25">
      <c r="A174">
        <f t="shared" si="22"/>
        <v>172</v>
      </c>
      <c r="B174">
        <v>174</v>
      </c>
      <c r="C174" t="str">
        <f t="shared" si="23"/>
        <v>COMPLETA</v>
      </c>
      <c r="D174" t="str">
        <f t="shared" si="24"/>
        <v>ERRO</v>
      </c>
      <c r="E174" t="str">
        <f t="shared" si="25"/>
        <v/>
      </c>
      <c r="F174" s="1" t="s">
        <v>144</v>
      </c>
      <c r="G174" t="s">
        <v>8</v>
      </c>
      <c r="H174" t="s">
        <v>9</v>
      </c>
      <c r="I174">
        <v>10</v>
      </c>
      <c r="J174" s="2" t="s">
        <v>35</v>
      </c>
      <c r="K174" s="3" t="str">
        <f t="shared" si="26"/>
        <v>R$ 30</v>
      </c>
      <c r="L174" t="s">
        <v>13</v>
      </c>
    </row>
    <row r="175" spans="1:12" x14ac:dyDescent="0.25">
      <c r="A175">
        <f t="shared" si="22"/>
        <v>173</v>
      </c>
      <c r="B175">
        <v>175</v>
      </c>
      <c r="C175" t="str">
        <f t="shared" si="23"/>
        <v>INCOMPLETA</v>
      </c>
      <c r="D175" t="str">
        <f t="shared" si="24"/>
        <v>ERRO</v>
      </c>
      <c r="E175" t="str">
        <f t="shared" si="25"/>
        <v/>
      </c>
      <c r="F175" s="1" t="s">
        <v>115</v>
      </c>
      <c r="G175" t="s">
        <v>12</v>
      </c>
      <c r="H175" t="s">
        <v>31</v>
      </c>
      <c r="J175" s="2" t="s">
        <v>35</v>
      </c>
      <c r="K175" s="3" t="str">
        <f t="shared" si="26"/>
        <v>R$ 30</v>
      </c>
      <c r="L175" t="s">
        <v>13</v>
      </c>
    </row>
    <row r="176" spans="1:12" x14ac:dyDescent="0.25">
      <c r="A176">
        <f t="shared" si="22"/>
        <v>174</v>
      </c>
      <c r="B176">
        <v>175</v>
      </c>
      <c r="C176" t="str">
        <f t="shared" si="23"/>
        <v>INCOMPLETA</v>
      </c>
      <c r="D176" t="str">
        <f t="shared" si="24"/>
        <v>ERRO</v>
      </c>
      <c r="E176" t="str">
        <f t="shared" si="25"/>
        <v>QUANTIDADE_VAZIA; QUANTIDADE_NEGATIVA; CLIENTE_VAZIA</v>
      </c>
      <c r="F176" s="1" t="s">
        <v>123</v>
      </c>
      <c r="H176" t="s">
        <v>19</v>
      </c>
      <c r="I176">
        <v>-3</v>
      </c>
      <c r="J176" s="2">
        <v>145.18</v>
      </c>
      <c r="K176" s="3">
        <f t="shared" si="26"/>
        <v>145.18</v>
      </c>
      <c r="L176" t="s">
        <v>49</v>
      </c>
    </row>
    <row r="177" spans="1:12" x14ac:dyDescent="0.25">
      <c r="A177">
        <f t="shared" si="22"/>
        <v>175</v>
      </c>
      <c r="B177">
        <v>175</v>
      </c>
      <c r="C177" t="str">
        <f t="shared" si="23"/>
        <v>COMPLETA</v>
      </c>
      <c r="D177" t="str">
        <f t="shared" si="24"/>
        <v>ERRO</v>
      </c>
      <c r="E177" t="str">
        <f t="shared" si="25"/>
        <v>QUANTIDADE_NEGATIVA</v>
      </c>
      <c r="F177" s="1" t="s">
        <v>111</v>
      </c>
      <c r="G177" t="s">
        <v>33</v>
      </c>
      <c r="H177" t="s">
        <v>15</v>
      </c>
      <c r="I177">
        <v>-3</v>
      </c>
      <c r="J177" s="2">
        <v>311.52</v>
      </c>
      <c r="K177" s="3">
        <f t="shared" si="26"/>
        <v>311.52</v>
      </c>
      <c r="L177" t="s">
        <v>21</v>
      </c>
    </row>
    <row r="178" spans="1:12" x14ac:dyDescent="0.25">
      <c r="A178">
        <f t="shared" si="22"/>
        <v>176</v>
      </c>
      <c r="B178">
        <v>176</v>
      </c>
      <c r="C178" t="str">
        <f t="shared" si="23"/>
        <v>INCOMPLETA</v>
      </c>
      <c r="D178" t="str">
        <f t="shared" si="24"/>
        <v>ERRO</v>
      </c>
      <c r="E178" t="str">
        <f t="shared" si="25"/>
        <v>QUANTIDADE_VAZIA; PRECO_VAZIA; CLIENTE_VAZIA; PRODUTO_VAZIA</v>
      </c>
      <c r="F178" s="1" t="s">
        <v>145</v>
      </c>
      <c r="I178">
        <v>14</v>
      </c>
      <c r="J178" s="2"/>
      <c r="K178" s="3" t="str">
        <f t="shared" si="26"/>
        <v/>
      </c>
      <c r="L178" t="s">
        <v>17</v>
      </c>
    </row>
    <row r="179" spans="1:12" x14ac:dyDescent="0.25">
      <c r="A179">
        <f t="shared" si="22"/>
        <v>177</v>
      </c>
      <c r="B179">
        <v>177</v>
      </c>
      <c r="C179" t="str">
        <f t="shared" si="23"/>
        <v>INCOMPLETA</v>
      </c>
      <c r="D179" t="str">
        <f t="shared" si="24"/>
        <v>ERRO</v>
      </c>
      <c r="E179" t="str">
        <f t="shared" si="25"/>
        <v>PRECO_VAZIA</v>
      </c>
      <c r="F179" s="1" t="s">
        <v>109</v>
      </c>
      <c r="G179" t="s">
        <v>33</v>
      </c>
      <c r="H179" t="s">
        <v>31</v>
      </c>
      <c r="I179">
        <v>3</v>
      </c>
      <c r="J179" s="2">
        <v>-10</v>
      </c>
      <c r="K179" s="3" t="str">
        <f t="shared" si="26"/>
        <v/>
      </c>
      <c r="L179" t="s">
        <v>10</v>
      </c>
    </row>
    <row r="180" spans="1:12" x14ac:dyDescent="0.25">
      <c r="A180">
        <f t="shared" si="22"/>
        <v>178</v>
      </c>
      <c r="B180">
        <v>178</v>
      </c>
      <c r="C180" t="str">
        <f t="shared" si="23"/>
        <v>INCOMPLETA</v>
      </c>
      <c r="D180" t="str">
        <f t="shared" si="24"/>
        <v>ERRO</v>
      </c>
      <c r="E180" t="str">
        <f t="shared" si="25"/>
        <v>QUANTIDADE_VAZIA; CLIENTE_VAZIA</v>
      </c>
      <c r="F180" s="1" t="s">
        <v>76</v>
      </c>
      <c r="H180" t="s">
        <v>9</v>
      </c>
      <c r="I180">
        <v>10</v>
      </c>
      <c r="J180" s="2" t="s">
        <v>35</v>
      </c>
      <c r="K180" s="3" t="str">
        <f t="shared" si="26"/>
        <v>R$ 30</v>
      </c>
      <c r="L180" t="s">
        <v>13</v>
      </c>
    </row>
    <row r="181" spans="1:12" x14ac:dyDescent="0.25">
      <c r="A181">
        <f t="shared" si="22"/>
        <v>179</v>
      </c>
      <c r="B181">
        <v>179</v>
      </c>
      <c r="C181" t="str">
        <f t="shared" si="23"/>
        <v>INCOMPLETA</v>
      </c>
      <c r="D181" t="str">
        <f t="shared" si="24"/>
        <v>ERRO</v>
      </c>
      <c r="E181" t="str">
        <f t="shared" si="25"/>
        <v>PRODUTO_VAZIA</v>
      </c>
      <c r="F181" s="1" t="s">
        <v>146</v>
      </c>
      <c r="G181" t="s">
        <v>12</v>
      </c>
      <c r="I181">
        <v>12</v>
      </c>
      <c r="J181" s="2">
        <v>477.17</v>
      </c>
      <c r="K181" s="3">
        <f t="shared" si="26"/>
        <v>477.17</v>
      </c>
      <c r="L181" t="s">
        <v>49</v>
      </c>
    </row>
    <row r="182" spans="1:12" x14ac:dyDescent="0.25">
      <c r="A182">
        <f t="shared" si="22"/>
        <v>180</v>
      </c>
      <c r="B182">
        <v>180</v>
      </c>
      <c r="C182" t="str">
        <f t="shared" si="23"/>
        <v>COMPLETA</v>
      </c>
      <c r="D182" t="str">
        <f t="shared" si="24"/>
        <v>OK</v>
      </c>
      <c r="E182" t="str">
        <f t="shared" si="25"/>
        <v/>
      </c>
      <c r="F182" t="s">
        <v>147</v>
      </c>
      <c r="G182" t="s">
        <v>33</v>
      </c>
      <c r="H182" t="s">
        <v>19</v>
      </c>
      <c r="I182">
        <v>9</v>
      </c>
      <c r="J182">
        <v>184.98</v>
      </c>
      <c r="K182" s="3">
        <f t="shared" si="26"/>
        <v>184.98</v>
      </c>
      <c r="L182" t="s">
        <v>17</v>
      </c>
    </row>
    <row r="183" spans="1:12" x14ac:dyDescent="0.25">
      <c r="A183">
        <f t="shared" si="22"/>
        <v>181</v>
      </c>
      <c r="B183">
        <v>181</v>
      </c>
      <c r="C183" t="str">
        <f t="shared" si="23"/>
        <v>INCOMPLETA</v>
      </c>
      <c r="D183" t="str">
        <f t="shared" si="24"/>
        <v>ERRO</v>
      </c>
      <c r="E183" t="str">
        <f t="shared" si="25"/>
        <v>CIDADE_VAZIA</v>
      </c>
      <c r="F183" s="1" t="s">
        <v>142</v>
      </c>
      <c r="G183" t="s">
        <v>12</v>
      </c>
      <c r="H183" t="s">
        <v>19</v>
      </c>
      <c r="I183">
        <v>5</v>
      </c>
      <c r="J183" s="2" t="s">
        <v>35</v>
      </c>
      <c r="K183" s="3" t="str">
        <f t="shared" si="26"/>
        <v>R$ 30</v>
      </c>
    </row>
    <row r="184" spans="1:12" x14ac:dyDescent="0.25">
      <c r="A184">
        <f t="shared" si="22"/>
        <v>182</v>
      </c>
      <c r="B184">
        <v>182</v>
      </c>
      <c r="C184" t="str">
        <f t="shared" si="23"/>
        <v>INCOMPLETA</v>
      </c>
      <c r="D184" t="str">
        <f t="shared" si="24"/>
        <v>ERRO</v>
      </c>
      <c r="E184" t="str">
        <f t="shared" si="25"/>
        <v>PRECO_VAZIA</v>
      </c>
      <c r="F184" s="1" t="s">
        <v>115</v>
      </c>
      <c r="G184" t="s">
        <v>33</v>
      </c>
      <c r="H184" t="s">
        <v>31</v>
      </c>
      <c r="J184" s="2">
        <v>-10</v>
      </c>
      <c r="K184" s="3" t="str">
        <f t="shared" si="26"/>
        <v/>
      </c>
      <c r="L184" t="s">
        <v>21</v>
      </c>
    </row>
    <row r="185" spans="1:12" x14ac:dyDescent="0.25">
      <c r="A185">
        <f t="shared" si="22"/>
        <v>183</v>
      </c>
      <c r="B185">
        <v>183</v>
      </c>
      <c r="C185" t="str">
        <f t="shared" si="23"/>
        <v>INCOMPLETA</v>
      </c>
      <c r="D185" t="str">
        <f t="shared" si="24"/>
        <v>ERRO</v>
      </c>
      <c r="E185" t="str">
        <f t="shared" si="25"/>
        <v>PRECO_VAZIA</v>
      </c>
      <c r="F185" s="1" t="s">
        <v>147</v>
      </c>
      <c r="G185" t="s">
        <v>26</v>
      </c>
      <c r="H185" t="s">
        <v>37</v>
      </c>
      <c r="I185">
        <v>10</v>
      </c>
      <c r="J185" s="2">
        <v>-10</v>
      </c>
      <c r="K185" s="3" t="str">
        <f t="shared" si="26"/>
        <v/>
      </c>
      <c r="L185" t="s">
        <v>17</v>
      </c>
    </row>
    <row r="186" spans="1:12" x14ac:dyDescent="0.25">
      <c r="A186">
        <f t="shared" si="22"/>
        <v>184</v>
      </c>
      <c r="B186">
        <v>185</v>
      </c>
      <c r="C186" t="str">
        <f t="shared" si="23"/>
        <v>INCOMPLETA</v>
      </c>
      <c r="D186" t="str">
        <f t="shared" si="24"/>
        <v>ERRO</v>
      </c>
      <c r="E186" t="str">
        <f t="shared" si="25"/>
        <v>PRECO_VAZIA</v>
      </c>
      <c r="F186" s="1" t="s">
        <v>149</v>
      </c>
      <c r="G186" t="s">
        <v>33</v>
      </c>
      <c r="H186" t="s">
        <v>47</v>
      </c>
      <c r="J186" s="2">
        <v>-10</v>
      </c>
      <c r="K186" s="3" t="str">
        <f t="shared" si="26"/>
        <v/>
      </c>
      <c r="L186" t="s">
        <v>17</v>
      </c>
    </row>
    <row r="187" spans="1:12" x14ac:dyDescent="0.25">
      <c r="A187">
        <f t="shared" si="22"/>
        <v>185</v>
      </c>
      <c r="B187">
        <v>186</v>
      </c>
      <c r="C187" t="str">
        <f t="shared" si="23"/>
        <v>INCOMPLETA</v>
      </c>
      <c r="D187" t="str">
        <f t="shared" si="24"/>
        <v>ERRO</v>
      </c>
      <c r="E187" t="str">
        <f t="shared" si="25"/>
        <v>PRECO_VAZIA</v>
      </c>
      <c r="F187" s="1" t="s">
        <v>150</v>
      </c>
      <c r="G187" t="s">
        <v>8</v>
      </c>
      <c r="H187" t="s">
        <v>23</v>
      </c>
      <c r="I187">
        <v>14</v>
      </c>
      <c r="J187" s="2"/>
      <c r="K187" s="3" t="str">
        <f t="shared" si="26"/>
        <v/>
      </c>
      <c r="L187" t="s">
        <v>10</v>
      </c>
    </row>
    <row r="188" spans="1:12" x14ac:dyDescent="0.25">
      <c r="A188">
        <f t="shared" si="22"/>
        <v>186</v>
      </c>
      <c r="B188">
        <v>187</v>
      </c>
      <c r="C188" t="str">
        <f t="shared" si="23"/>
        <v>INCOMPLETA</v>
      </c>
      <c r="D188" t="str">
        <f t="shared" si="24"/>
        <v>ERRO</v>
      </c>
      <c r="E188" t="str">
        <f t="shared" si="25"/>
        <v>PRECO_VAZIA</v>
      </c>
      <c r="F188" s="1" t="s">
        <v>151</v>
      </c>
      <c r="G188" t="s">
        <v>12</v>
      </c>
      <c r="H188" t="s">
        <v>19</v>
      </c>
      <c r="I188">
        <v>10</v>
      </c>
      <c r="J188" s="2">
        <v>-10</v>
      </c>
      <c r="K188" s="3" t="str">
        <f t="shared" si="26"/>
        <v/>
      </c>
      <c r="L188" t="s">
        <v>13</v>
      </c>
    </row>
    <row r="189" spans="1:12" x14ac:dyDescent="0.25">
      <c r="A189">
        <f t="shared" si="22"/>
        <v>187</v>
      </c>
      <c r="B189">
        <v>188</v>
      </c>
      <c r="C189" t="str">
        <f t="shared" si="23"/>
        <v>INCOMPLETA</v>
      </c>
      <c r="D189" t="str">
        <f t="shared" si="24"/>
        <v>ERRO</v>
      </c>
      <c r="E189" t="str">
        <f t="shared" si="25"/>
        <v/>
      </c>
      <c r="F189" s="1" t="s">
        <v>66</v>
      </c>
      <c r="G189" t="s">
        <v>33</v>
      </c>
      <c r="H189" t="s">
        <v>9</v>
      </c>
      <c r="J189" s="2">
        <v>395.81</v>
      </c>
      <c r="K189" s="3">
        <f t="shared" si="26"/>
        <v>395.81</v>
      </c>
      <c r="L189" t="s">
        <v>49</v>
      </c>
    </row>
    <row r="190" spans="1:12" x14ac:dyDescent="0.25">
      <c r="A190">
        <f t="shared" si="22"/>
        <v>188</v>
      </c>
      <c r="B190">
        <v>188</v>
      </c>
      <c r="C190" t="str">
        <f t="shared" si="23"/>
        <v>COMPLETA</v>
      </c>
      <c r="D190" t="str">
        <f t="shared" si="24"/>
        <v>ERRO</v>
      </c>
      <c r="E190" t="str">
        <f t="shared" si="25"/>
        <v>QUANTIDADE_NEGATIVA</v>
      </c>
      <c r="F190" s="1" t="s">
        <v>152</v>
      </c>
      <c r="G190" t="s">
        <v>33</v>
      </c>
      <c r="H190" t="s">
        <v>37</v>
      </c>
      <c r="I190">
        <v>-3</v>
      </c>
      <c r="J190" s="2">
        <v>144.53</v>
      </c>
      <c r="K190" s="3">
        <f t="shared" si="26"/>
        <v>144.53</v>
      </c>
      <c r="L190" t="s">
        <v>21</v>
      </c>
    </row>
    <row r="191" spans="1:12" x14ac:dyDescent="0.25">
      <c r="A191">
        <f t="shared" si="22"/>
        <v>189</v>
      </c>
      <c r="B191">
        <v>189</v>
      </c>
      <c r="C191" t="str">
        <f t="shared" si="23"/>
        <v>INCOMPLETA</v>
      </c>
      <c r="D191" t="str">
        <f t="shared" si="24"/>
        <v>ERRO</v>
      </c>
      <c r="E191" t="str">
        <f t="shared" si="25"/>
        <v>PRECO_VAZIA; PRODUTO_VAZIA</v>
      </c>
      <c r="F191" s="1" t="s">
        <v>56</v>
      </c>
      <c r="G191" t="s">
        <v>8</v>
      </c>
      <c r="I191">
        <v>6</v>
      </c>
      <c r="J191" s="2">
        <v>-10</v>
      </c>
      <c r="K191" s="3" t="str">
        <f t="shared" si="26"/>
        <v/>
      </c>
      <c r="L191" t="s">
        <v>21</v>
      </c>
    </row>
    <row r="192" spans="1:12" x14ac:dyDescent="0.25">
      <c r="A192">
        <f t="shared" si="22"/>
        <v>190</v>
      </c>
      <c r="B192">
        <v>190</v>
      </c>
      <c r="C192" t="str">
        <f t="shared" si="23"/>
        <v>INCOMPLETA</v>
      </c>
      <c r="D192" t="str">
        <f t="shared" si="24"/>
        <v>ERRO</v>
      </c>
      <c r="E192" t="str">
        <f t="shared" si="25"/>
        <v>PRECO_VAZIA</v>
      </c>
      <c r="F192" s="1" t="s">
        <v>51</v>
      </c>
      <c r="G192" t="s">
        <v>8</v>
      </c>
      <c r="H192" t="s">
        <v>19</v>
      </c>
      <c r="I192">
        <v>13</v>
      </c>
      <c r="J192" s="2">
        <v>-10</v>
      </c>
      <c r="K192" s="3" t="str">
        <f t="shared" si="26"/>
        <v/>
      </c>
      <c r="L192" t="s">
        <v>17</v>
      </c>
    </row>
    <row r="193" spans="1:12" x14ac:dyDescent="0.25">
      <c r="A193">
        <f t="shared" si="22"/>
        <v>191</v>
      </c>
      <c r="B193">
        <v>191</v>
      </c>
      <c r="C193" t="str">
        <f t="shared" si="23"/>
        <v>COMPLETA</v>
      </c>
      <c r="D193" t="str">
        <f t="shared" si="24"/>
        <v>ERRO</v>
      </c>
      <c r="E193" t="str">
        <f t="shared" si="25"/>
        <v/>
      </c>
      <c r="F193" s="1" t="s">
        <v>125</v>
      </c>
      <c r="G193" t="s">
        <v>12</v>
      </c>
      <c r="H193" t="s">
        <v>15</v>
      </c>
      <c r="I193">
        <v>10</v>
      </c>
      <c r="J193" s="2" t="s">
        <v>35</v>
      </c>
      <c r="K193" s="3" t="str">
        <f t="shared" si="26"/>
        <v>R$ 30</v>
      </c>
      <c r="L193" t="s">
        <v>13</v>
      </c>
    </row>
    <row r="194" spans="1:12" x14ac:dyDescent="0.25">
      <c r="A194">
        <f t="shared" si="22"/>
        <v>192</v>
      </c>
      <c r="B194">
        <v>192</v>
      </c>
      <c r="C194" t="str">
        <f t="shared" ref="C194:C201" si="27">IF(AND(B194&lt;&gt;"",F194&lt;&gt;"",G194&lt;&gt;"",H194&lt;&gt;"",I194&lt;&gt;"",K194&lt;&gt;"",L194&lt;&gt;""),"COMPLETA","INCOMPLETA")</f>
        <v>COMPLETA</v>
      </c>
      <c r="D194" t="str">
        <f t="shared" ref="D194:D201" si="28">IF(AND(C194="COMPLETA", ISNUMBER(I194), I194&gt;0, ISNUMBER(K194), K194&gt;0), "OK", "ERRO")</f>
        <v>ERRO</v>
      </c>
      <c r="E194" t="str">
        <f t="shared" ref="E194:E201" si="29">_xlfn.TEXTJOIN("; ", TRUE,
  IF(G194="", "QUANTIDADE_VAZIA", ""),
  IF(AND(ISNUMBER(I194), I194&lt;0), "QUANTIDADE_NEGATIVA", ""),
  IF(K194="", "PRECO_VAZIA", ""),
  IF(G194="", "CLIENTE_VAZIA", ""),
  IF(H194="", "PRODUTO_VAZIA", ""),
  IF(L194="", "CIDADE_VAZIA", ""),
  IF(F194="", "DATA_VAZIA", "")
)</f>
        <v>QUANTIDADE_NEGATIVA</v>
      </c>
      <c r="F194" s="1" t="s">
        <v>7</v>
      </c>
      <c r="G194" t="s">
        <v>26</v>
      </c>
      <c r="H194" t="s">
        <v>31</v>
      </c>
      <c r="I194">
        <v>-3</v>
      </c>
      <c r="J194" s="2">
        <v>457.64</v>
      </c>
      <c r="K194" s="3">
        <f t="shared" ref="K194:K201" si="30">IF(J194&gt;0, J194, "")</f>
        <v>457.64</v>
      </c>
      <c r="L194" t="s">
        <v>17</v>
      </c>
    </row>
    <row r="195" spans="1:12" x14ac:dyDescent="0.25">
      <c r="A195">
        <f t="shared" ref="A195:A201" si="31">ROW() -2</f>
        <v>193</v>
      </c>
      <c r="B195">
        <v>193</v>
      </c>
      <c r="C195" t="str">
        <f t="shared" si="27"/>
        <v>INCOMPLETA</v>
      </c>
      <c r="D195" t="str">
        <f t="shared" si="28"/>
        <v>ERRO</v>
      </c>
      <c r="E195" t="str">
        <f t="shared" si="29"/>
        <v>PRECO_VAZIA</v>
      </c>
      <c r="F195" s="1" t="s">
        <v>79</v>
      </c>
      <c r="G195" t="s">
        <v>33</v>
      </c>
      <c r="H195" t="s">
        <v>9</v>
      </c>
      <c r="I195">
        <v>10</v>
      </c>
      <c r="J195" s="2">
        <v>-10</v>
      </c>
      <c r="K195" s="3" t="str">
        <f t="shared" si="30"/>
        <v/>
      </c>
      <c r="L195" t="s">
        <v>13</v>
      </c>
    </row>
    <row r="196" spans="1:12" x14ac:dyDescent="0.25">
      <c r="A196">
        <f t="shared" si="31"/>
        <v>194</v>
      </c>
      <c r="B196">
        <v>194</v>
      </c>
      <c r="C196" t="str">
        <f t="shared" si="27"/>
        <v>INCOMPLETA</v>
      </c>
      <c r="D196" t="str">
        <f t="shared" si="28"/>
        <v>ERRO</v>
      </c>
      <c r="E196" t="str">
        <f t="shared" si="29"/>
        <v>CIDADE_VAZIA</v>
      </c>
      <c r="F196" s="1" t="s">
        <v>98</v>
      </c>
      <c r="G196" t="s">
        <v>33</v>
      </c>
      <c r="H196" t="s">
        <v>15</v>
      </c>
      <c r="I196">
        <v>15</v>
      </c>
      <c r="J196" s="2" t="s">
        <v>35</v>
      </c>
      <c r="K196" s="3" t="str">
        <f t="shared" si="30"/>
        <v>R$ 30</v>
      </c>
    </row>
    <row r="197" spans="1:12" x14ac:dyDescent="0.25">
      <c r="A197">
        <f t="shared" si="31"/>
        <v>195</v>
      </c>
      <c r="B197">
        <v>195</v>
      </c>
      <c r="C197" t="str">
        <f t="shared" si="27"/>
        <v>INCOMPLETA</v>
      </c>
      <c r="D197" t="str">
        <f t="shared" si="28"/>
        <v>ERRO</v>
      </c>
      <c r="E197" t="str">
        <f t="shared" si="29"/>
        <v>QUANTIDADE_VAZIA; PRECO_VAZIA; CLIENTE_VAZIA; PRODUTO_VAZIA</v>
      </c>
      <c r="F197" s="1" t="s">
        <v>153</v>
      </c>
      <c r="I197">
        <v>10</v>
      </c>
      <c r="J197" s="2"/>
      <c r="K197" s="3" t="str">
        <f t="shared" si="30"/>
        <v/>
      </c>
      <c r="L197" t="s">
        <v>17</v>
      </c>
    </row>
    <row r="198" spans="1:12" x14ac:dyDescent="0.25">
      <c r="A198">
        <f t="shared" si="31"/>
        <v>196</v>
      </c>
      <c r="B198">
        <v>196</v>
      </c>
      <c r="C198" t="str">
        <f t="shared" si="27"/>
        <v>COMPLETA</v>
      </c>
      <c r="D198" t="str">
        <f t="shared" si="28"/>
        <v>ERRO</v>
      </c>
      <c r="E198" t="str">
        <f t="shared" si="29"/>
        <v>QUANTIDADE_NEGATIVA</v>
      </c>
      <c r="F198" s="1" t="s">
        <v>71</v>
      </c>
      <c r="G198" t="s">
        <v>26</v>
      </c>
      <c r="H198" t="s">
        <v>15</v>
      </c>
      <c r="I198">
        <v>-3</v>
      </c>
      <c r="J198" s="2" t="s">
        <v>35</v>
      </c>
      <c r="K198" s="3" t="str">
        <f t="shared" si="30"/>
        <v>R$ 30</v>
      </c>
      <c r="L198" t="s">
        <v>49</v>
      </c>
    </row>
    <row r="199" spans="1:12" x14ac:dyDescent="0.25">
      <c r="A199">
        <f t="shared" si="31"/>
        <v>197</v>
      </c>
      <c r="B199">
        <v>197</v>
      </c>
      <c r="C199" t="str">
        <f t="shared" si="27"/>
        <v>INCOMPLETA</v>
      </c>
      <c r="D199" t="str">
        <f t="shared" si="28"/>
        <v>ERRO</v>
      </c>
      <c r="E199" t="str">
        <f t="shared" si="29"/>
        <v>PRECO_VAZIA</v>
      </c>
      <c r="F199" s="1" t="s">
        <v>34</v>
      </c>
      <c r="G199" t="s">
        <v>26</v>
      </c>
      <c r="H199" t="s">
        <v>23</v>
      </c>
      <c r="I199">
        <v>10</v>
      </c>
      <c r="J199" s="2">
        <v>-10</v>
      </c>
      <c r="K199" s="3" t="str">
        <f t="shared" si="30"/>
        <v/>
      </c>
      <c r="L199" t="s">
        <v>10</v>
      </c>
    </row>
    <row r="200" spans="1:12" x14ac:dyDescent="0.25">
      <c r="A200">
        <f t="shared" si="31"/>
        <v>198</v>
      </c>
      <c r="B200">
        <v>198</v>
      </c>
      <c r="C200" t="str">
        <f t="shared" si="27"/>
        <v>INCOMPLETA</v>
      </c>
      <c r="D200" t="str">
        <f t="shared" si="28"/>
        <v>ERRO</v>
      </c>
      <c r="E200" t="str">
        <f t="shared" si="29"/>
        <v>QUANTIDADE_VAZIA; PRECO_VAZIA; CLIENTE_VAZIA</v>
      </c>
      <c r="F200" s="1" t="s">
        <v>65</v>
      </c>
      <c r="H200" t="s">
        <v>23</v>
      </c>
      <c r="I200">
        <v>10</v>
      </c>
      <c r="J200" s="2">
        <v>-10</v>
      </c>
      <c r="K200" s="3" t="str">
        <f t="shared" si="30"/>
        <v/>
      </c>
      <c r="L200" t="s">
        <v>49</v>
      </c>
    </row>
    <row r="201" spans="1:12" x14ac:dyDescent="0.25">
      <c r="A201">
        <f t="shared" si="31"/>
        <v>199</v>
      </c>
      <c r="B201">
        <v>199</v>
      </c>
      <c r="C201" t="str">
        <f t="shared" si="27"/>
        <v>INCOMPLETA</v>
      </c>
      <c r="D201" t="str">
        <f t="shared" si="28"/>
        <v>ERRO</v>
      </c>
      <c r="E201" t="str">
        <f t="shared" si="29"/>
        <v>PRECO_VAZIA; PRODUTO_VAZIA</v>
      </c>
      <c r="F201" s="1" t="s">
        <v>92</v>
      </c>
      <c r="G201" t="s">
        <v>26</v>
      </c>
      <c r="J201" s="2"/>
      <c r="K201" s="3" t="str">
        <f t="shared" si="30"/>
        <v/>
      </c>
      <c r="L201" t="s">
        <v>49</v>
      </c>
    </row>
  </sheetData>
  <conditionalFormatting sqref="B1:B201">
    <cfRule type="duplicateValues" dxfId="8" priority="4"/>
  </conditionalFormatting>
  <conditionalFormatting sqref="C1:C1048576">
    <cfRule type="cellIs" dxfId="7" priority="1" operator="equal">
      <formula>"INCOMPLETA"</formula>
    </cfRule>
  </conditionalFormatting>
  <conditionalFormatting sqref="D1:D1048576 E2:E201">
    <cfRule type="cellIs" dxfId="6" priority="2" operator="equal">
      <formula>"OK"</formula>
    </cfRule>
    <cfRule type="containsText" dxfId="5" priority="3" operator="containsText" text="ERRO">
      <formula>NOT(ISERROR(SEARCH("ERRO",D1)))</formula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D335-CAE9-44C5-80DD-9EC98A2829C2}">
  <dimension ref="A1:K58"/>
  <sheetViews>
    <sheetView tabSelected="1" topLeftCell="A12" zoomScale="85" zoomScaleNormal="85" workbookViewId="0">
      <selection activeCell="C8" sqref="C8"/>
    </sheetView>
  </sheetViews>
  <sheetFormatPr defaultRowHeight="24" customHeight="1" x14ac:dyDescent="0.25"/>
  <cols>
    <col min="1" max="1" width="27.42578125" bestFit="1" customWidth="1"/>
    <col min="2" max="2" width="14.85546875" bestFit="1" customWidth="1"/>
    <col min="3" max="3" width="19" bestFit="1" customWidth="1"/>
    <col min="4" max="4" width="17.42578125" bestFit="1" customWidth="1"/>
    <col min="5" max="5" width="17.85546875" customWidth="1"/>
    <col min="6" max="6" width="25.5703125" customWidth="1"/>
    <col min="7" max="7" width="18" bestFit="1" customWidth="1"/>
    <col min="8" max="8" width="19.7109375" bestFit="1" customWidth="1"/>
    <col min="9" max="9" width="24" bestFit="1" customWidth="1"/>
    <col min="10" max="11" width="25.7109375" bestFit="1" customWidth="1"/>
    <col min="12" max="23" width="25.85546875" bestFit="1" customWidth="1"/>
    <col min="24" max="24" width="32.42578125" bestFit="1" customWidth="1"/>
    <col min="25" max="25" width="32.5703125" bestFit="1" customWidth="1"/>
  </cols>
  <sheetData>
    <row r="1" spans="1:11" ht="40.5" customHeight="1" x14ac:dyDescent="0.25">
      <c r="A1" s="9" t="s">
        <v>162</v>
      </c>
      <c r="B1" s="4" t="s">
        <v>0</v>
      </c>
      <c r="C1" s="9" t="s">
        <v>160</v>
      </c>
      <c r="D1" s="9" t="s">
        <v>159</v>
      </c>
      <c r="E1" s="10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163</v>
      </c>
      <c r="K1" s="9" t="s">
        <v>6</v>
      </c>
    </row>
    <row r="2" spans="1:11" ht="24" customHeight="1" x14ac:dyDescent="0.25">
      <c r="A2" s="7">
        <f t="shared" ref="A2:A16" si="0">ROW()-1</f>
        <v>1</v>
      </c>
      <c r="B2" s="5">
        <v>6</v>
      </c>
      <c r="C2" s="5" t="s">
        <v>157</v>
      </c>
      <c r="D2" s="5" t="s">
        <v>161</v>
      </c>
      <c r="E2" s="6">
        <v>45333</v>
      </c>
      <c r="F2" s="5" t="s">
        <v>8</v>
      </c>
      <c r="G2" s="5" t="s">
        <v>19</v>
      </c>
      <c r="H2" s="5">
        <v>10</v>
      </c>
      <c r="I2" s="8">
        <v>353.89</v>
      </c>
      <c r="J2" s="8">
        <f>Tabela2[[#This Row],[Quantidade]] * Tabela2[[#This Row],[Preço_Unitário]]</f>
        <v>3538.8999999999996</v>
      </c>
      <c r="K2" s="5" t="s">
        <v>10</v>
      </c>
    </row>
    <row r="3" spans="1:11" ht="24" customHeight="1" x14ac:dyDescent="0.25">
      <c r="A3" s="7">
        <f t="shared" si="0"/>
        <v>2</v>
      </c>
      <c r="B3" s="5">
        <v>8</v>
      </c>
      <c r="C3" s="5" t="s">
        <v>157</v>
      </c>
      <c r="D3" s="5" t="s">
        <v>161</v>
      </c>
      <c r="E3" s="6">
        <v>45488</v>
      </c>
      <c r="F3" s="5" t="s">
        <v>12</v>
      </c>
      <c r="G3" s="5" t="s">
        <v>9</v>
      </c>
      <c r="H3" s="5">
        <v>10</v>
      </c>
      <c r="I3" s="8">
        <v>206.57</v>
      </c>
      <c r="J3" s="8">
        <f>Tabela2[[#This Row],[Quantidade]] * Tabela2[[#This Row],[Preço_Unitário]]</f>
        <v>2065.6999999999998</v>
      </c>
      <c r="K3" s="5" t="s">
        <v>13</v>
      </c>
    </row>
    <row r="4" spans="1:11" ht="24" customHeight="1" x14ac:dyDescent="0.25">
      <c r="A4" s="7">
        <f t="shared" si="0"/>
        <v>3</v>
      </c>
      <c r="B4" s="5">
        <v>13</v>
      </c>
      <c r="C4" s="5" t="s">
        <v>157</v>
      </c>
      <c r="D4" s="5" t="s">
        <v>161</v>
      </c>
      <c r="E4" s="6">
        <v>45433</v>
      </c>
      <c r="F4" s="5" t="s">
        <v>12</v>
      </c>
      <c r="G4" s="5" t="s">
        <v>23</v>
      </c>
      <c r="H4" s="5">
        <v>10</v>
      </c>
      <c r="I4" s="8">
        <v>30</v>
      </c>
      <c r="J4" s="8">
        <f>Tabela2[[#This Row],[Quantidade]] * Tabela2[[#This Row],[Preço_Unitário]]</f>
        <v>300</v>
      </c>
      <c r="K4" s="5" t="s">
        <v>21</v>
      </c>
    </row>
    <row r="5" spans="1:11" ht="24" customHeight="1" x14ac:dyDescent="0.25">
      <c r="A5" s="7">
        <f t="shared" si="0"/>
        <v>4</v>
      </c>
      <c r="B5" s="5">
        <v>25</v>
      </c>
      <c r="C5" s="5" t="s">
        <v>157</v>
      </c>
      <c r="D5" s="5" t="s">
        <v>161</v>
      </c>
      <c r="E5" s="6">
        <v>45410</v>
      </c>
      <c r="F5" s="5" t="s">
        <v>26</v>
      </c>
      <c r="G5" s="5" t="s">
        <v>23</v>
      </c>
      <c r="H5" s="5">
        <v>15</v>
      </c>
      <c r="I5" s="8">
        <v>34.79</v>
      </c>
      <c r="J5" s="8">
        <f>Tabela2[[#This Row],[Quantidade]] * Tabela2[[#This Row],[Preço_Unitário]]</f>
        <v>521.85</v>
      </c>
      <c r="K5" s="5" t="s">
        <v>21</v>
      </c>
    </row>
    <row r="6" spans="1:11" ht="24" customHeight="1" x14ac:dyDescent="0.25">
      <c r="A6" s="7">
        <f t="shared" si="0"/>
        <v>5</v>
      </c>
      <c r="B6" s="5">
        <v>29</v>
      </c>
      <c r="C6" s="5" t="s">
        <v>157</v>
      </c>
      <c r="D6" s="5" t="s">
        <v>161</v>
      </c>
      <c r="E6" s="6">
        <v>45427</v>
      </c>
      <c r="F6" s="5" t="s">
        <v>26</v>
      </c>
      <c r="G6" s="5" t="s">
        <v>37</v>
      </c>
      <c r="H6" s="5">
        <v>17</v>
      </c>
      <c r="I6" s="8">
        <v>427.16</v>
      </c>
      <c r="J6" s="8">
        <f>Tabela2[[#This Row],[Quantidade]] * Tabela2[[#This Row],[Preço_Unitário]]</f>
        <v>7261.72</v>
      </c>
      <c r="K6" s="5" t="s">
        <v>10</v>
      </c>
    </row>
    <row r="7" spans="1:11" ht="24" customHeight="1" x14ac:dyDescent="0.25">
      <c r="A7" s="7">
        <f t="shared" si="0"/>
        <v>6</v>
      </c>
      <c r="B7" s="5">
        <v>32</v>
      </c>
      <c r="C7" s="5" t="s">
        <v>157</v>
      </c>
      <c r="D7" s="5" t="s">
        <v>161</v>
      </c>
      <c r="E7" s="6">
        <v>45368</v>
      </c>
      <c r="F7" s="5" t="s">
        <v>33</v>
      </c>
      <c r="G7" s="5" t="s">
        <v>19</v>
      </c>
      <c r="H7" s="5">
        <v>3</v>
      </c>
      <c r="I7" s="8">
        <v>234.56</v>
      </c>
      <c r="J7" s="8">
        <f>Tabela2[[#This Row],[Quantidade]] * Tabela2[[#This Row],[Preço_Unitário]]</f>
        <v>703.68000000000006</v>
      </c>
      <c r="K7" s="5" t="s">
        <v>21</v>
      </c>
    </row>
    <row r="8" spans="1:11" ht="24" customHeight="1" x14ac:dyDescent="0.25">
      <c r="A8" s="7">
        <f t="shared" si="0"/>
        <v>7</v>
      </c>
      <c r="B8" s="5">
        <v>44</v>
      </c>
      <c r="C8" s="5" t="s">
        <v>157</v>
      </c>
      <c r="D8" s="5" t="s">
        <v>161</v>
      </c>
      <c r="E8" s="6">
        <v>45429</v>
      </c>
      <c r="F8" s="5" t="s">
        <v>8</v>
      </c>
      <c r="G8" s="5" t="s">
        <v>37</v>
      </c>
      <c r="H8" s="5">
        <v>10</v>
      </c>
      <c r="I8" s="8">
        <v>30</v>
      </c>
      <c r="J8" s="8">
        <f>Tabela2[[#This Row],[Quantidade]] * Tabela2[[#This Row],[Preço_Unitário]]</f>
        <v>300</v>
      </c>
      <c r="K8" s="5" t="s">
        <v>21</v>
      </c>
    </row>
    <row r="9" spans="1:11" ht="24" customHeight="1" x14ac:dyDescent="0.25">
      <c r="A9" s="7">
        <f t="shared" si="0"/>
        <v>8</v>
      </c>
      <c r="B9" s="5">
        <v>48</v>
      </c>
      <c r="C9" s="5" t="s">
        <v>157</v>
      </c>
      <c r="D9" s="5" t="s">
        <v>161</v>
      </c>
      <c r="E9" s="6">
        <v>45399</v>
      </c>
      <c r="F9" s="5" t="s">
        <v>33</v>
      </c>
      <c r="G9" s="5" t="s">
        <v>15</v>
      </c>
      <c r="H9" s="5">
        <v>10</v>
      </c>
      <c r="I9" s="8">
        <v>208.98</v>
      </c>
      <c r="J9" s="8">
        <f>Tabela2[[#This Row],[Quantidade]] * Tabela2[[#This Row],[Preço_Unitário]]</f>
        <v>2089.7999999999997</v>
      </c>
      <c r="K9" s="5" t="s">
        <v>17</v>
      </c>
    </row>
    <row r="10" spans="1:11" ht="24" customHeight="1" x14ac:dyDescent="0.25">
      <c r="A10" s="7">
        <f t="shared" si="0"/>
        <v>9</v>
      </c>
      <c r="B10" s="5">
        <v>64</v>
      </c>
      <c r="C10" s="5" t="s">
        <v>157</v>
      </c>
      <c r="D10" s="5" t="s">
        <v>161</v>
      </c>
      <c r="E10" s="6">
        <v>45399</v>
      </c>
      <c r="F10" s="5" t="s">
        <v>8</v>
      </c>
      <c r="G10" s="5" t="s">
        <v>23</v>
      </c>
      <c r="H10" s="5">
        <v>16</v>
      </c>
      <c r="I10" s="8">
        <v>377.02</v>
      </c>
      <c r="J10" s="8">
        <f>Tabela2[[#This Row],[Quantidade]] * Tabela2[[#This Row],[Preço_Unitário]]</f>
        <v>6032.32</v>
      </c>
      <c r="K10" s="5" t="s">
        <v>17</v>
      </c>
    </row>
    <row r="11" spans="1:11" ht="24" customHeight="1" x14ac:dyDescent="0.25">
      <c r="A11" s="7">
        <f t="shared" si="0"/>
        <v>10</v>
      </c>
      <c r="B11" s="5">
        <v>81</v>
      </c>
      <c r="C11" s="5" t="s">
        <v>157</v>
      </c>
      <c r="D11" s="5" t="s">
        <v>161</v>
      </c>
      <c r="E11" s="6">
        <v>45305</v>
      </c>
      <c r="F11" s="5" t="s">
        <v>8</v>
      </c>
      <c r="G11" s="5" t="s">
        <v>31</v>
      </c>
      <c r="H11" s="5">
        <v>4</v>
      </c>
      <c r="I11" s="8">
        <v>206.35</v>
      </c>
      <c r="J11" s="8">
        <f>Tabela2[[#This Row],[Quantidade]] * Tabela2[[#This Row],[Preço_Unitário]]</f>
        <v>825.4</v>
      </c>
      <c r="K11" s="5" t="s">
        <v>10</v>
      </c>
    </row>
    <row r="12" spans="1:11" ht="24" customHeight="1" x14ac:dyDescent="0.25">
      <c r="A12" s="7">
        <f t="shared" si="0"/>
        <v>11</v>
      </c>
      <c r="B12" s="5">
        <v>107</v>
      </c>
      <c r="C12" s="5" t="s">
        <v>157</v>
      </c>
      <c r="D12" s="5" t="s">
        <v>161</v>
      </c>
      <c r="E12" s="6">
        <v>45365</v>
      </c>
      <c r="F12" s="5" t="s">
        <v>26</v>
      </c>
      <c r="G12" s="5" t="s">
        <v>23</v>
      </c>
      <c r="H12" s="5">
        <v>14</v>
      </c>
      <c r="I12" s="8">
        <v>382.58</v>
      </c>
      <c r="J12" s="8">
        <f>Tabela2[[#This Row],[Quantidade]] * Tabela2[[#This Row],[Preço_Unitário]]</f>
        <v>5356.12</v>
      </c>
      <c r="K12" s="5" t="s">
        <v>49</v>
      </c>
    </row>
    <row r="13" spans="1:11" ht="24" customHeight="1" x14ac:dyDescent="0.25">
      <c r="A13" s="7">
        <f t="shared" si="0"/>
        <v>12</v>
      </c>
      <c r="B13" s="5">
        <v>110</v>
      </c>
      <c r="C13" s="5" t="s">
        <v>157</v>
      </c>
      <c r="D13" s="5" t="s">
        <v>161</v>
      </c>
      <c r="E13" s="6">
        <v>45382</v>
      </c>
      <c r="F13" s="5" t="s">
        <v>33</v>
      </c>
      <c r="G13" s="5" t="s">
        <v>47</v>
      </c>
      <c r="H13" s="5">
        <v>15</v>
      </c>
      <c r="I13" s="8">
        <v>339.95</v>
      </c>
      <c r="J13" s="8">
        <f>Tabela2[[#This Row],[Quantidade]] * Tabela2[[#This Row],[Preço_Unitário]]</f>
        <v>5099.25</v>
      </c>
      <c r="K13" s="5" t="s">
        <v>21</v>
      </c>
    </row>
    <row r="14" spans="1:11" ht="24" customHeight="1" x14ac:dyDescent="0.25">
      <c r="A14" s="7">
        <f t="shared" si="0"/>
        <v>13</v>
      </c>
      <c r="B14" s="5">
        <v>150</v>
      </c>
      <c r="C14" s="5" t="s">
        <v>157</v>
      </c>
      <c r="D14" s="5" t="s">
        <v>161</v>
      </c>
      <c r="E14" s="6">
        <v>45439</v>
      </c>
      <c r="F14" s="5" t="s">
        <v>33</v>
      </c>
      <c r="G14" s="5" t="s">
        <v>47</v>
      </c>
      <c r="H14" s="5">
        <v>10</v>
      </c>
      <c r="I14" s="8">
        <v>66.430000000000007</v>
      </c>
      <c r="J14" s="8">
        <f>Tabela2[[#This Row],[Quantidade]] * Tabela2[[#This Row],[Preço_Unitário]]</f>
        <v>664.30000000000007</v>
      </c>
      <c r="K14" s="5" t="s">
        <v>17</v>
      </c>
    </row>
    <row r="15" spans="1:11" ht="24" customHeight="1" x14ac:dyDescent="0.25">
      <c r="A15" s="7">
        <f t="shared" si="0"/>
        <v>14</v>
      </c>
      <c r="B15" s="5">
        <v>156</v>
      </c>
      <c r="C15" s="5" t="s">
        <v>157</v>
      </c>
      <c r="D15" s="5" t="s">
        <v>161</v>
      </c>
      <c r="E15" s="6">
        <v>45404</v>
      </c>
      <c r="F15" s="5" t="s">
        <v>12</v>
      </c>
      <c r="G15" s="5" t="s">
        <v>31</v>
      </c>
      <c r="H15" s="5">
        <v>10</v>
      </c>
      <c r="I15" s="8">
        <v>400.2</v>
      </c>
      <c r="J15" s="8">
        <f>Tabela2[[#This Row],[Quantidade]] * Tabela2[[#This Row],[Preço_Unitário]]</f>
        <v>4002</v>
      </c>
      <c r="K15" s="5" t="s">
        <v>17</v>
      </c>
    </row>
    <row r="16" spans="1:11" ht="24" customHeight="1" x14ac:dyDescent="0.25">
      <c r="A16" s="7">
        <f t="shared" si="0"/>
        <v>15</v>
      </c>
      <c r="B16" s="5">
        <v>180</v>
      </c>
      <c r="C16" s="5" t="s">
        <v>157</v>
      </c>
      <c r="D16" s="5" t="s">
        <v>161</v>
      </c>
      <c r="E16" s="6">
        <v>45303</v>
      </c>
      <c r="F16" s="5" t="s">
        <v>33</v>
      </c>
      <c r="G16" s="5" t="s">
        <v>19</v>
      </c>
      <c r="H16" s="5">
        <v>9</v>
      </c>
      <c r="I16" s="8">
        <v>184.98</v>
      </c>
      <c r="J16" s="8">
        <f>Tabela2[[#This Row],[Quantidade]] * Tabela2[[#This Row],[Preço_Unitário]]</f>
        <v>1664.82</v>
      </c>
      <c r="K16" s="5" t="s">
        <v>17</v>
      </c>
    </row>
    <row r="18" spans="1:10" ht="24" customHeight="1" x14ac:dyDescent="0.25">
      <c r="B18" s="12"/>
      <c r="D18" s="12"/>
      <c r="F18" s="12"/>
    </row>
    <row r="19" spans="1:10" ht="24" customHeight="1" x14ac:dyDescent="0.45">
      <c r="A19" s="17" t="s">
        <v>172</v>
      </c>
      <c r="B19" s="12"/>
      <c r="D19" s="17" t="s">
        <v>173</v>
      </c>
      <c r="F19" s="12"/>
      <c r="I19" s="17" t="s">
        <v>174</v>
      </c>
    </row>
    <row r="22" spans="1:10" ht="24" customHeight="1" x14ac:dyDescent="0.25">
      <c r="A22" s="12" t="s">
        <v>164</v>
      </c>
      <c r="I22" t="s">
        <v>198</v>
      </c>
    </row>
    <row r="23" spans="1:10" ht="24" customHeight="1" x14ac:dyDescent="0.25">
      <c r="A23" s="13">
        <f>SUM(Tabela2[Valor_Total])</f>
        <v>40425.860000000008</v>
      </c>
      <c r="I23" s="15" t="s">
        <v>168</v>
      </c>
      <c r="J23" t="s">
        <v>170</v>
      </c>
    </row>
    <row r="24" spans="1:10" ht="24" customHeight="1" x14ac:dyDescent="0.25">
      <c r="I24" s="16" t="s">
        <v>23</v>
      </c>
      <c r="J24" s="11">
        <v>12210.29</v>
      </c>
    </row>
    <row r="25" spans="1:10" ht="24" customHeight="1" x14ac:dyDescent="0.25">
      <c r="A25" s="12" t="s">
        <v>167</v>
      </c>
      <c r="I25" s="16" t="s">
        <v>37</v>
      </c>
      <c r="J25" s="11">
        <v>7561.72</v>
      </c>
    </row>
    <row r="26" spans="1:10" ht="24" customHeight="1" x14ac:dyDescent="0.25">
      <c r="A26" s="12">
        <f>SUM(Tabela2[Quantidade])</f>
        <v>163</v>
      </c>
      <c r="I26" s="16" t="s">
        <v>19</v>
      </c>
      <c r="J26" s="11">
        <v>5907.4</v>
      </c>
    </row>
    <row r="27" spans="1:10" ht="24" customHeight="1" x14ac:dyDescent="0.25">
      <c r="I27" s="16" t="s">
        <v>47</v>
      </c>
      <c r="J27" s="11">
        <v>5763.55</v>
      </c>
    </row>
    <row r="28" spans="1:10" ht="24" customHeight="1" x14ac:dyDescent="0.25">
      <c r="A28" s="12" t="s">
        <v>166</v>
      </c>
      <c r="I28" s="16" t="s">
        <v>31</v>
      </c>
      <c r="J28" s="11">
        <v>4827.3999999999996</v>
      </c>
    </row>
    <row r="29" spans="1:10" ht="24" customHeight="1" x14ac:dyDescent="0.25">
      <c r="A29" s="13">
        <f>SUM(Tabela2[Valor_Total]) / COUNT(Tabela2[Valor_Total])</f>
        <v>2695.0573333333336</v>
      </c>
    </row>
    <row r="31" spans="1:10" ht="24" customHeight="1" x14ac:dyDescent="0.25">
      <c r="A31" s="12" t="s">
        <v>165</v>
      </c>
      <c r="I31" t="s">
        <v>199</v>
      </c>
    </row>
    <row r="32" spans="1:10" ht="24" customHeight="1" x14ac:dyDescent="0.25">
      <c r="A32" s="14">
        <f>SUM(Tabela2[Quantidade]) / COUNT(Tabela2[Quantidade])</f>
        <v>10.866666666666667</v>
      </c>
      <c r="I32" s="15" t="s">
        <v>168</v>
      </c>
      <c r="J32" t="s">
        <v>171</v>
      </c>
    </row>
    <row r="33" spans="9:10" ht="24" customHeight="1" x14ac:dyDescent="0.25">
      <c r="I33" s="16" t="s">
        <v>23</v>
      </c>
      <c r="J33">
        <v>55</v>
      </c>
    </row>
    <row r="34" spans="9:10" ht="24" customHeight="1" x14ac:dyDescent="0.25">
      <c r="I34" s="16" t="s">
        <v>37</v>
      </c>
      <c r="J34">
        <v>27</v>
      </c>
    </row>
    <row r="35" spans="9:10" ht="24" customHeight="1" x14ac:dyDescent="0.25">
      <c r="I35" s="16" t="s">
        <v>47</v>
      </c>
      <c r="J35">
        <v>25</v>
      </c>
    </row>
    <row r="36" spans="9:10" ht="24" customHeight="1" x14ac:dyDescent="0.25">
      <c r="I36" s="16" t="s">
        <v>19</v>
      </c>
      <c r="J36">
        <v>22</v>
      </c>
    </row>
    <row r="37" spans="9:10" ht="24" customHeight="1" x14ac:dyDescent="0.25">
      <c r="I37" s="16" t="s">
        <v>31</v>
      </c>
      <c r="J37">
        <v>14</v>
      </c>
    </row>
    <row r="38" spans="9:10" ht="24" customHeight="1" x14ac:dyDescent="0.25">
      <c r="I38" s="16" t="s">
        <v>9</v>
      </c>
      <c r="J38">
        <v>10</v>
      </c>
    </row>
    <row r="39" spans="9:10" ht="24" customHeight="1" x14ac:dyDescent="0.25">
      <c r="I39" s="16" t="s">
        <v>15</v>
      </c>
      <c r="J39">
        <v>10</v>
      </c>
    </row>
    <row r="42" spans="9:10" ht="24" customHeight="1" x14ac:dyDescent="0.25">
      <c r="I42" t="s">
        <v>200</v>
      </c>
    </row>
    <row r="43" spans="9:10" ht="24" customHeight="1" x14ac:dyDescent="0.25">
      <c r="I43" s="15" t="s">
        <v>168</v>
      </c>
      <c r="J43" t="s">
        <v>170</v>
      </c>
    </row>
    <row r="44" spans="9:10" ht="24" customHeight="1" x14ac:dyDescent="0.25">
      <c r="I44" s="16" t="s">
        <v>13</v>
      </c>
      <c r="J44" s="11">
        <v>2065.6999999999998</v>
      </c>
    </row>
    <row r="45" spans="9:10" ht="24" customHeight="1" x14ac:dyDescent="0.25">
      <c r="I45" s="16" t="s">
        <v>17</v>
      </c>
      <c r="J45" s="11">
        <v>14453.239999999998</v>
      </c>
    </row>
    <row r="46" spans="9:10" ht="24" customHeight="1" x14ac:dyDescent="0.25">
      <c r="I46" s="16" t="s">
        <v>10</v>
      </c>
      <c r="J46" s="11">
        <v>11626.019999999999</v>
      </c>
    </row>
    <row r="47" spans="9:10" ht="24" customHeight="1" x14ac:dyDescent="0.25">
      <c r="I47" s="16" t="s">
        <v>49</v>
      </c>
      <c r="J47" s="11">
        <v>5356.12</v>
      </c>
    </row>
    <row r="48" spans="9:10" ht="24" customHeight="1" x14ac:dyDescent="0.25">
      <c r="I48" s="16" t="s">
        <v>21</v>
      </c>
      <c r="J48" s="11">
        <v>6924.7800000000007</v>
      </c>
    </row>
    <row r="49" spans="9:10" ht="24" customHeight="1" x14ac:dyDescent="0.25">
      <c r="I49" s="16" t="s">
        <v>169</v>
      </c>
      <c r="J49" s="11">
        <v>40425.86</v>
      </c>
    </row>
    <row r="52" spans="9:10" ht="24" customHeight="1" x14ac:dyDescent="0.25">
      <c r="I52" s="16" t="s">
        <v>201</v>
      </c>
    </row>
    <row r="53" spans="9:10" ht="24" customHeight="1" x14ac:dyDescent="0.25">
      <c r="I53" s="15" t="s">
        <v>168</v>
      </c>
      <c r="J53" t="s">
        <v>170</v>
      </c>
    </row>
    <row r="54" spans="9:10" ht="24" customHeight="1" x14ac:dyDescent="0.25">
      <c r="I54" s="16" t="s">
        <v>33</v>
      </c>
      <c r="J54" s="11">
        <v>10221.849999999999</v>
      </c>
    </row>
    <row r="55" spans="9:10" ht="24" customHeight="1" x14ac:dyDescent="0.25">
      <c r="I55" s="16" t="s">
        <v>12</v>
      </c>
      <c r="J55" s="11">
        <v>6367.7</v>
      </c>
    </row>
    <row r="56" spans="9:10" ht="24" customHeight="1" x14ac:dyDescent="0.25">
      <c r="I56" s="16" t="s">
        <v>26</v>
      </c>
      <c r="J56" s="11">
        <v>13139.69</v>
      </c>
    </row>
    <row r="57" spans="9:10" ht="24" customHeight="1" x14ac:dyDescent="0.25">
      <c r="I57" s="16" t="s">
        <v>8</v>
      </c>
      <c r="J57" s="11">
        <v>10696.619999999999</v>
      </c>
    </row>
    <row r="58" spans="9:10" ht="24" customHeight="1" x14ac:dyDescent="0.25">
      <c r="I58" s="16" t="s">
        <v>169</v>
      </c>
      <c r="J58" s="11">
        <v>40425.86</v>
      </c>
    </row>
  </sheetData>
  <conditionalFormatting sqref="B1">
    <cfRule type="duplicateValues" dxfId="4" priority="1"/>
  </conditionalFormatting>
  <pageMargins left="0.511811024" right="0.511811024" top="0.78740157499999996" bottom="0.78740157499999996" header="0.31496062000000002" footer="0.31496062000000002"/>
  <drawing r:id="rId5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6E490-FFCE-409E-810C-1448C2C72D68}">
  <dimension ref="A1:AH201"/>
  <sheetViews>
    <sheetView topLeftCell="S29" zoomScale="85" zoomScaleNormal="85" workbookViewId="0">
      <selection activeCell="W59" sqref="W59"/>
    </sheetView>
  </sheetViews>
  <sheetFormatPr defaultRowHeight="15" x14ac:dyDescent="0.25"/>
  <cols>
    <col min="1" max="1" width="20.28515625" bestFit="1" customWidth="1"/>
    <col min="2" max="2" width="10.42578125" bestFit="1" customWidth="1"/>
    <col min="3" max="3" width="14.85546875" bestFit="1" customWidth="1"/>
    <col min="4" max="4" width="14.85546875" customWidth="1"/>
    <col min="5" max="5" width="88.85546875" bestFit="1" customWidth="1"/>
    <col min="6" max="6" width="27.85546875" bestFit="1" customWidth="1"/>
    <col min="7" max="7" width="31.5703125" bestFit="1" customWidth="1"/>
    <col min="8" max="8" width="29.5703125" bestFit="1" customWidth="1"/>
    <col min="9" max="9" width="40.28515625" bestFit="1" customWidth="1"/>
    <col min="10" max="10" width="35.28515625" bestFit="1" customWidth="1"/>
    <col min="11" max="11" width="28.28515625" bestFit="1" customWidth="1"/>
    <col min="12" max="12" width="15.5703125" customWidth="1"/>
    <col min="13" max="13" width="17.42578125" bestFit="1" customWidth="1"/>
    <col min="14" max="14" width="16.7109375" bestFit="1" customWidth="1"/>
    <col min="15" max="15" width="18.28515625" bestFit="1" customWidth="1"/>
    <col min="16" max="16" width="22" bestFit="1" customWidth="1"/>
    <col min="17" max="17" width="26" bestFit="1" customWidth="1"/>
    <col min="18" max="18" width="16" customWidth="1"/>
    <col min="19" max="19" width="10.42578125" customWidth="1"/>
    <col min="20" max="20" width="22.5703125" customWidth="1"/>
    <col min="21" max="21" width="24.28515625" bestFit="1" customWidth="1"/>
    <col min="22" max="22" width="30.28515625" bestFit="1" customWidth="1"/>
    <col min="23" max="23" width="19.7109375" bestFit="1" customWidth="1"/>
    <col min="24" max="24" width="25.28515625" bestFit="1" customWidth="1"/>
    <col min="25" max="25" width="20.85546875" bestFit="1" customWidth="1"/>
    <col min="26" max="26" width="25.28515625" bestFit="1" customWidth="1"/>
    <col min="29" max="29" width="19.7109375" bestFit="1" customWidth="1"/>
    <col min="30" max="30" width="19.42578125" bestFit="1" customWidth="1"/>
    <col min="31" max="31" width="25.28515625" bestFit="1" customWidth="1"/>
    <col min="32" max="32" width="15" bestFit="1" customWidth="1"/>
  </cols>
  <sheetData>
    <row r="1" spans="1:34" x14ac:dyDescent="0.25">
      <c r="A1" t="s">
        <v>154</v>
      </c>
      <c r="B1" t="s">
        <v>0</v>
      </c>
      <c r="C1" t="s">
        <v>160</v>
      </c>
      <c r="D1" t="s">
        <v>159</v>
      </c>
      <c r="E1" t="s">
        <v>156</v>
      </c>
      <c r="F1" t="s">
        <v>187</v>
      </c>
      <c r="G1" t="s">
        <v>188</v>
      </c>
      <c r="H1" t="s">
        <v>192</v>
      </c>
      <c r="I1" t="s">
        <v>189</v>
      </c>
      <c r="J1" t="s">
        <v>190</v>
      </c>
      <c r="K1" t="s">
        <v>191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158</v>
      </c>
      <c r="R1" t="s">
        <v>6</v>
      </c>
      <c r="AH1" t="s">
        <v>159</v>
      </c>
    </row>
    <row r="2" spans="1:34" ht="23.25" x14ac:dyDescent="0.35">
      <c r="A2">
        <f>ROW() -2</f>
        <v>0</v>
      </c>
      <c r="B2">
        <v>0</v>
      </c>
      <c r="C2" t="str">
        <f t="shared" ref="C2:C33" si="0">IF(AND(B2&lt;&gt;"",L2&lt;&gt;"",M2&lt;&gt;"",N2&lt;&gt;"",O2&lt;&gt;"",Q2&lt;&gt;"",R2&lt;&gt;""),"COMPLETA","INCOMPLETA")</f>
        <v>INCOMPLETA</v>
      </c>
      <c r="D2" t="str">
        <f t="shared" ref="D2:D33" si="1">IF(AND(C2="COMPLETA", ISNUMBER(O2), O2&gt;0, ISNUMBER(Q2), Q2&gt;0), "OK", "ERRO")</f>
        <v>ERRO</v>
      </c>
      <c r="E2" t="str">
        <f t="shared" ref="E2:E65" si="2">_xlfn.TEXTJOIN("; ", TRUE,
  IF(M2="", "QUANTIDADE_VAZIA", ""),
  IF(AND(ISNUMBER(O2), O2&lt;0), "QUANTIDADE_NEGATIVA", ""),
  IF(Q2="", "PRECO_VAZIA", ""),
  IF(M2="", "CLIENTE_VAZIA", ""),
  IF(N2="", "PRODUTO_VAZIA", ""),
  IF(R2="", "CIDADE_VAZIA", ""),
  IF(L2="", "DATA_VAZIA", "")
)</f>
        <v/>
      </c>
      <c r="F2" cm="1">
        <f t="array" ref="F2">IF(ISERR(FIND("PRECO_VAZIA", INDEX(tbl_vendas564[Tipo_Erro], ROW()-ROW(tbl_vendas564[#Headers])))), 0, 1)</f>
        <v>0</v>
      </c>
      <c r="G2" cm="1">
        <f t="array" ref="G2">IF(ISERR(FIND("PRODUTO_VAZIA", INDEX(tbl_vendas564[Tipo_Erro], ROW()-ROW(tbl_vendas564[#Headers])))), 0, 1)</f>
        <v>0</v>
      </c>
      <c r="H2" cm="1">
        <f t="array" ref="H2">IF(ISERR(FIND("CLIENTE_VAZIA", INDEX(tbl_vendas564[Tipo_Erro], ROW()-ROW(tbl_vendas564[#Headers])))), 0, 1)</f>
        <v>0</v>
      </c>
      <c r="I2" cm="1">
        <f t="array" ref="I2">IF(ISERR(FIND("QUANTIDADE_NEGATIVA", INDEX(tbl_vendas564[Tipo_Erro], ROW()-ROW(tbl_vendas564[#Headers])))), 0, 1)</f>
        <v>0</v>
      </c>
      <c r="J2" cm="1">
        <f t="array" ref="J2">IF(ISERR(FIND("QUANTIDADE_VAZIA", INDEX(tbl_vendas564[Tipo_Erro], ROW()-ROW(tbl_vendas564[#Headers])))), 0, 1)</f>
        <v>0</v>
      </c>
      <c r="K2" cm="1">
        <f t="array" ref="K2">IF(ISERR(FIND("CIDADE_VAZIA", INDEX(tbl_vendas564[Tipo_Erro], ROW()-ROW(tbl_vendas564[#Headers])))), 0, 1)</f>
        <v>0</v>
      </c>
      <c r="L2" s="1" t="s">
        <v>7</v>
      </c>
      <c r="M2" t="s">
        <v>8</v>
      </c>
      <c r="N2" t="s">
        <v>9</v>
      </c>
      <c r="P2" s="2">
        <v>370.87</v>
      </c>
      <c r="Q2" s="3">
        <f t="shared" ref="Q2:Q65" si="3">IF(P2&gt;0, P2, "")</f>
        <v>370.87</v>
      </c>
      <c r="R2" t="s">
        <v>10</v>
      </c>
      <c r="T2" s="22" t="s">
        <v>172</v>
      </c>
      <c r="AH2" t="s">
        <v>161</v>
      </c>
    </row>
    <row r="3" spans="1:34" x14ac:dyDescent="0.25">
      <c r="A3">
        <f t="shared" ref="A3:A66" si="4">ROW() -2</f>
        <v>1</v>
      </c>
      <c r="B3">
        <v>1</v>
      </c>
      <c r="C3" t="str">
        <f t="shared" si="0"/>
        <v>INCOMPLETA</v>
      </c>
      <c r="D3" t="str">
        <f t="shared" si="1"/>
        <v>ERRO</v>
      </c>
      <c r="E3" t="str">
        <f t="shared" si="2"/>
        <v>PRECO_VAZIA</v>
      </c>
      <c r="F3" cm="1">
        <f t="array" ref="F3">IF(ISERR(FIND("PRECO_VAZIA", INDEX(tbl_vendas564[Tipo_Erro], ROW()-ROW(tbl_vendas564[#Headers])))), 0, 1)</f>
        <v>1</v>
      </c>
      <c r="G3" cm="1">
        <f t="array" ref="G3">IF(ISERR(FIND("PRODUTO_VAZIA", INDEX(tbl_vendas564[Tipo_Erro], ROW()-ROW(tbl_vendas564[#Headers])))), 0, 1)</f>
        <v>0</v>
      </c>
      <c r="H3" cm="1">
        <f t="array" ref="H3">IF(ISERR(FIND("CLIENTE_VAZIA", INDEX(tbl_vendas564[Tipo_Erro], ROW()-ROW(tbl_vendas564[#Headers])))), 0, 1)</f>
        <v>0</v>
      </c>
      <c r="I3" cm="1">
        <f t="array" ref="I3">IF(ISERR(FIND("QUANTIDADE_NEGATIVA", INDEX(tbl_vendas564[Tipo_Erro], ROW()-ROW(tbl_vendas564[#Headers])))), 0, 1)</f>
        <v>0</v>
      </c>
      <c r="J3" cm="1">
        <f t="array" ref="J3">IF(ISERR(FIND("QUANTIDADE_VAZIA", INDEX(tbl_vendas564[Tipo_Erro], ROW()-ROW(tbl_vendas564[#Headers])))), 0, 1)</f>
        <v>0</v>
      </c>
      <c r="K3" cm="1">
        <f t="array" ref="K3">IF(ISERR(FIND("CIDADE_VAZIA", INDEX(tbl_vendas564[Tipo_Erro], ROW()-ROW(tbl_vendas564[#Headers])))), 0, 1)</f>
        <v>0</v>
      </c>
      <c r="L3" s="1" t="s">
        <v>11</v>
      </c>
      <c r="M3" t="s">
        <v>12</v>
      </c>
      <c r="N3" t="s">
        <v>9</v>
      </c>
      <c r="O3">
        <v>8</v>
      </c>
      <c r="P3" s="2">
        <v>-10</v>
      </c>
      <c r="Q3" s="3" t="str">
        <f t="shared" si="3"/>
        <v/>
      </c>
      <c r="R3" t="s">
        <v>13</v>
      </c>
      <c r="T3" t="s">
        <v>175</v>
      </c>
      <c r="U3" s="18">
        <f>IFERROR(COUNTIF(tbl_vendas564[Status_Final],"OK") / COUNTA(tbl_vendas564[Status_Final]), 0)</f>
        <v>7.4999999999999997E-2</v>
      </c>
    </row>
    <row r="4" spans="1:34" x14ac:dyDescent="0.25">
      <c r="A4">
        <f t="shared" si="4"/>
        <v>2</v>
      </c>
      <c r="B4">
        <v>2</v>
      </c>
      <c r="C4" t="str">
        <f t="shared" si="0"/>
        <v>INCOMPLETA</v>
      </c>
      <c r="D4" t="str">
        <f t="shared" si="1"/>
        <v>ERRO</v>
      </c>
      <c r="E4" t="str">
        <f t="shared" si="2"/>
        <v>PRECO_VAZIA</v>
      </c>
      <c r="F4" cm="1">
        <f t="array" ref="F4">IF(ISERR(FIND("PRECO_VAZIA", INDEX(tbl_vendas564[Tipo_Erro], ROW()-ROW(tbl_vendas564[#Headers])))), 0, 1)</f>
        <v>1</v>
      </c>
      <c r="G4" cm="1">
        <f t="array" ref="G4">IF(ISERR(FIND("PRODUTO_VAZIA", INDEX(tbl_vendas564[Tipo_Erro], ROW()-ROW(tbl_vendas564[#Headers])))), 0, 1)</f>
        <v>0</v>
      </c>
      <c r="H4" cm="1">
        <f t="array" ref="H4">IF(ISERR(FIND("CLIENTE_VAZIA", INDEX(tbl_vendas564[Tipo_Erro], ROW()-ROW(tbl_vendas564[#Headers])))), 0, 1)</f>
        <v>0</v>
      </c>
      <c r="I4" cm="1">
        <f t="array" ref="I4">IF(ISERR(FIND("QUANTIDADE_NEGATIVA", INDEX(tbl_vendas564[Tipo_Erro], ROW()-ROW(tbl_vendas564[#Headers])))), 0, 1)</f>
        <v>0</v>
      </c>
      <c r="J4" cm="1">
        <f t="array" ref="J4">IF(ISERR(FIND("QUANTIDADE_VAZIA", INDEX(tbl_vendas564[Tipo_Erro], ROW()-ROW(tbl_vendas564[#Headers])))), 0, 1)</f>
        <v>0</v>
      </c>
      <c r="K4" cm="1">
        <f t="array" ref="K4">IF(ISERR(FIND("CIDADE_VAZIA", INDEX(tbl_vendas564[Tipo_Erro], ROW()-ROW(tbl_vendas564[#Headers])))), 0, 1)</f>
        <v>0</v>
      </c>
      <c r="L4" s="1" t="s">
        <v>14</v>
      </c>
      <c r="M4" t="s">
        <v>12</v>
      </c>
      <c r="N4" t="s">
        <v>15</v>
      </c>
      <c r="O4">
        <v>10</v>
      </c>
      <c r="P4" s="2"/>
      <c r="Q4" s="3" t="str">
        <f t="shared" si="3"/>
        <v/>
      </c>
      <c r="R4" t="s">
        <v>17</v>
      </c>
      <c r="T4" t="s">
        <v>176</v>
      </c>
      <c r="U4">
        <f>COUNTIF(tbl_vendas564[Status_Final],"ERRO")</f>
        <v>185</v>
      </c>
    </row>
    <row r="5" spans="1:34" x14ac:dyDescent="0.25">
      <c r="A5">
        <f t="shared" si="4"/>
        <v>3</v>
      </c>
      <c r="B5">
        <v>3</v>
      </c>
      <c r="C5" t="str">
        <f t="shared" si="0"/>
        <v>INCOMPLETA</v>
      </c>
      <c r="D5" t="str">
        <f t="shared" si="1"/>
        <v>ERRO</v>
      </c>
      <c r="E5" t="str">
        <f t="shared" si="2"/>
        <v>PRECO_VAZIA</v>
      </c>
      <c r="F5" cm="1">
        <f t="array" ref="F5">IF(ISERR(FIND("PRECO_VAZIA", INDEX(tbl_vendas564[Tipo_Erro], ROW()-ROW(tbl_vendas564[#Headers])))), 0, 1)</f>
        <v>1</v>
      </c>
      <c r="G5" cm="1">
        <f t="array" ref="G5">IF(ISERR(FIND("PRODUTO_VAZIA", INDEX(tbl_vendas564[Tipo_Erro], ROW()-ROW(tbl_vendas564[#Headers])))), 0, 1)</f>
        <v>0</v>
      </c>
      <c r="H5" cm="1">
        <f t="array" ref="H5">IF(ISERR(FIND("CLIENTE_VAZIA", INDEX(tbl_vendas564[Tipo_Erro], ROW()-ROW(tbl_vendas564[#Headers])))), 0, 1)</f>
        <v>0</v>
      </c>
      <c r="I5" cm="1">
        <f t="array" ref="I5">IF(ISERR(FIND("QUANTIDADE_NEGATIVA", INDEX(tbl_vendas564[Tipo_Erro], ROW()-ROW(tbl_vendas564[#Headers])))), 0, 1)</f>
        <v>0</v>
      </c>
      <c r="J5" cm="1">
        <f t="array" ref="J5">IF(ISERR(FIND("QUANTIDADE_VAZIA", INDEX(tbl_vendas564[Tipo_Erro], ROW()-ROW(tbl_vendas564[#Headers])))), 0, 1)</f>
        <v>0</v>
      </c>
      <c r="K5" cm="1">
        <f t="array" ref="K5">IF(ISERR(FIND("CIDADE_VAZIA", INDEX(tbl_vendas564[Tipo_Erro], ROW()-ROW(tbl_vendas564[#Headers])))), 0, 1)</f>
        <v>0</v>
      </c>
      <c r="L5" s="1" t="s">
        <v>18</v>
      </c>
      <c r="M5" t="s">
        <v>12</v>
      </c>
      <c r="N5" t="s">
        <v>19</v>
      </c>
      <c r="O5">
        <v>10</v>
      </c>
      <c r="P5" s="2">
        <v>-10</v>
      </c>
      <c r="Q5" s="3" t="str">
        <f t="shared" si="3"/>
        <v/>
      </c>
      <c r="R5" t="s">
        <v>10</v>
      </c>
      <c r="T5" t="s">
        <v>177</v>
      </c>
      <c r="U5" s="18">
        <f>IFERROR(COUNTIF(tbl_vendas564[Status_Final],"ERRO") / COUNTA(tbl_vendas564[Status_Final]), 0)</f>
        <v>0.92500000000000004</v>
      </c>
    </row>
    <row r="6" spans="1:34" x14ac:dyDescent="0.25">
      <c r="A6">
        <f t="shared" si="4"/>
        <v>4</v>
      </c>
      <c r="B6">
        <v>4</v>
      </c>
      <c r="C6" t="str">
        <f t="shared" si="0"/>
        <v>INCOMPLETA</v>
      </c>
      <c r="D6" t="str">
        <f t="shared" si="1"/>
        <v>ERRO</v>
      </c>
      <c r="E6" t="str">
        <f t="shared" si="2"/>
        <v>PRODUTO_VAZIA</v>
      </c>
      <c r="F6" cm="1">
        <f t="array" ref="F6">IF(ISERR(FIND("PRECO_VAZIA", INDEX(tbl_vendas564[Tipo_Erro], ROW()-ROW(tbl_vendas564[#Headers])))), 0, 1)</f>
        <v>0</v>
      </c>
      <c r="G6" cm="1">
        <f t="array" ref="G6">IF(ISERR(FIND("PRODUTO_VAZIA", INDEX(tbl_vendas564[Tipo_Erro], ROW()-ROW(tbl_vendas564[#Headers])))), 0, 1)</f>
        <v>1</v>
      </c>
      <c r="H6" cm="1">
        <f t="array" ref="H6">IF(ISERR(FIND("CLIENTE_VAZIA", INDEX(tbl_vendas564[Tipo_Erro], ROW()-ROW(tbl_vendas564[#Headers])))), 0, 1)</f>
        <v>0</v>
      </c>
      <c r="I6" cm="1">
        <f t="array" ref="I6">IF(ISERR(FIND("QUANTIDADE_NEGATIVA", INDEX(tbl_vendas564[Tipo_Erro], ROW()-ROW(tbl_vendas564[#Headers])))), 0, 1)</f>
        <v>0</v>
      </c>
      <c r="J6" cm="1">
        <f t="array" ref="J6">IF(ISERR(FIND("QUANTIDADE_VAZIA", INDEX(tbl_vendas564[Tipo_Erro], ROW()-ROW(tbl_vendas564[#Headers])))), 0, 1)</f>
        <v>0</v>
      </c>
      <c r="K6" cm="1">
        <f t="array" ref="K6">IF(ISERR(FIND("CIDADE_VAZIA", INDEX(tbl_vendas564[Tipo_Erro], ROW()-ROW(tbl_vendas564[#Headers])))), 0, 1)</f>
        <v>0</v>
      </c>
      <c r="L6" s="1" t="s">
        <v>20</v>
      </c>
      <c r="M6" t="s">
        <v>12</v>
      </c>
      <c r="O6">
        <v>10</v>
      </c>
      <c r="P6" s="2">
        <v>292.89999999999998</v>
      </c>
      <c r="Q6" s="3">
        <f t="shared" si="3"/>
        <v>292.89999999999998</v>
      </c>
      <c r="R6" t="s">
        <v>21</v>
      </c>
    </row>
    <row r="7" spans="1:34" x14ac:dyDescent="0.25">
      <c r="A7">
        <f t="shared" si="4"/>
        <v>5</v>
      </c>
      <c r="B7">
        <v>5</v>
      </c>
      <c r="C7" t="str">
        <f t="shared" si="0"/>
        <v>INCOMPLETA</v>
      </c>
      <c r="D7" t="str">
        <f t="shared" si="1"/>
        <v>ERRO</v>
      </c>
      <c r="E7" t="str">
        <f t="shared" si="2"/>
        <v>PRECO_VAZIA; CIDADE_VAZIA</v>
      </c>
      <c r="F7" cm="1">
        <f t="array" ref="F7">IF(ISERR(FIND("PRECO_VAZIA", INDEX(tbl_vendas564[Tipo_Erro], ROW()-ROW(tbl_vendas564[#Headers])))), 0, 1)</f>
        <v>1</v>
      </c>
      <c r="G7" cm="1">
        <f t="array" ref="G7">IF(ISERR(FIND("PRODUTO_VAZIA", INDEX(tbl_vendas564[Tipo_Erro], ROW()-ROW(tbl_vendas564[#Headers])))), 0, 1)</f>
        <v>0</v>
      </c>
      <c r="H7" cm="1">
        <f t="array" ref="H7">IF(ISERR(FIND("CLIENTE_VAZIA", INDEX(tbl_vendas564[Tipo_Erro], ROW()-ROW(tbl_vendas564[#Headers])))), 0, 1)</f>
        <v>0</v>
      </c>
      <c r="I7" cm="1">
        <f t="array" ref="I7">IF(ISERR(FIND("QUANTIDADE_NEGATIVA", INDEX(tbl_vendas564[Tipo_Erro], ROW()-ROW(tbl_vendas564[#Headers])))), 0, 1)</f>
        <v>0</v>
      </c>
      <c r="J7" cm="1">
        <f t="array" ref="J7">IF(ISERR(FIND("QUANTIDADE_VAZIA", INDEX(tbl_vendas564[Tipo_Erro], ROW()-ROW(tbl_vendas564[#Headers])))), 0, 1)</f>
        <v>0</v>
      </c>
      <c r="K7" cm="1">
        <f t="array" ref="K7">IF(ISERR(FIND("CIDADE_VAZIA", INDEX(tbl_vendas564[Tipo_Erro], ROW()-ROW(tbl_vendas564[#Headers])))), 0, 1)</f>
        <v>1</v>
      </c>
      <c r="L7" s="1" t="s">
        <v>22</v>
      </c>
      <c r="M7" t="s">
        <v>8</v>
      </c>
      <c r="N7" t="s">
        <v>23</v>
      </c>
      <c r="O7">
        <v>8</v>
      </c>
      <c r="P7" s="2">
        <v>-10</v>
      </c>
      <c r="Q7" s="3" t="str">
        <f t="shared" si="3"/>
        <v/>
      </c>
    </row>
    <row r="8" spans="1:34" ht="23.25" x14ac:dyDescent="0.35">
      <c r="A8">
        <f t="shared" si="4"/>
        <v>6</v>
      </c>
      <c r="B8">
        <v>6</v>
      </c>
      <c r="C8" t="str">
        <f t="shared" si="0"/>
        <v>COMPLETA</v>
      </c>
      <c r="D8" t="str">
        <f t="shared" si="1"/>
        <v>OK</v>
      </c>
      <c r="E8" t="str">
        <f t="shared" si="2"/>
        <v/>
      </c>
      <c r="F8" cm="1">
        <f t="array" ref="F8">IF(ISERR(FIND("PRECO_VAZIA", INDEX(tbl_vendas564[Tipo_Erro], ROW()-ROW(tbl_vendas564[#Headers])))), 0, 1)</f>
        <v>0</v>
      </c>
      <c r="G8" cm="1">
        <f t="array" ref="G8">IF(ISERR(FIND("PRODUTO_VAZIA", INDEX(tbl_vendas564[Tipo_Erro], ROW()-ROW(tbl_vendas564[#Headers])))), 0, 1)</f>
        <v>0</v>
      </c>
      <c r="H8" cm="1">
        <f t="array" ref="H8">IF(ISERR(FIND("CLIENTE_VAZIA", INDEX(tbl_vendas564[Tipo_Erro], ROW()-ROW(tbl_vendas564[#Headers])))), 0, 1)</f>
        <v>0</v>
      </c>
      <c r="I8" cm="1">
        <f t="array" ref="I8">IF(ISERR(FIND("QUANTIDADE_NEGATIVA", INDEX(tbl_vendas564[Tipo_Erro], ROW()-ROW(tbl_vendas564[#Headers])))), 0, 1)</f>
        <v>0</v>
      </c>
      <c r="J8" cm="1">
        <f t="array" ref="J8">IF(ISERR(FIND("QUANTIDADE_VAZIA", INDEX(tbl_vendas564[Tipo_Erro], ROW()-ROW(tbl_vendas564[#Headers])))), 0, 1)</f>
        <v>0</v>
      </c>
      <c r="K8" cm="1">
        <f t="array" ref="K8">IF(ISERR(FIND("CIDADE_VAZIA", INDEX(tbl_vendas564[Tipo_Erro], ROW()-ROW(tbl_vendas564[#Headers])))), 0, 1)</f>
        <v>0</v>
      </c>
      <c r="L8" t="s">
        <v>24</v>
      </c>
      <c r="M8" t="s">
        <v>8</v>
      </c>
      <c r="N8" t="s">
        <v>19</v>
      </c>
      <c r="O8">
        <v>10</v>
      </c>
      <c r="P8">
        <v>353.89</v>
      </c>
      <c r="Q8" s="3">
        <f t="shared" si="3"/>
        <v>353.89</v>
      </c>
      <c r="R8" t="s">
        <v>10</v>
      </c>
      <c r="T8" s="22" t="s">
        <v>196</v>
      </c>
      <c r="Z8" s="22" t="s">
        <v>197</v>
      </c>
    </row>
    <row r="9" spans="1:34" x14ac:dyDescent="0.25">
      <c r="A9">
        <f t="shared" si="4"/>
        <v>7</v>
      </c>
      <c r="B9">
        <v>7</v>
      </c>
      <c r="C9" t="str">
        <f t="shared" si="0"/>
        <v>INCOMPLETA</v>
      </c>
      <c r="D9" t="str">
        <f t="shared" si="1"/>
        <v>ERRO</v>
      </c>
      <c r="E9" t="str">
        <f t="shared" si="2"/>
        <v>QUANTIDADE_NEGATIVA; PRECO_VAZIA; CIDADE_VAZIA</v>
      </c>
      <c r="F9" cm="1">
        <f t="array" ref="F9">IF(ISERR(FIND("PRECO_VAZIA", INDEX(tbl_vendas564[Tipo_Erro], ROW()-ROW(tbl_vendas564[#Headers])))), 0, 1)</f>
        <v>1</v>
      </c>
      <c r="G9" cm="1">
        <f t="array" ref="G9">IF(ISERR(FIND("PRODUTO_VAZIA", INDEX(tbl_vendas564[Tipo_Erro], ROW()-ROW(tbl_vendas564[#Headers])))), 0, 1)</f>
        <v>0</v>
      </c>
      <c r="H9" cm="1">
        <f t="array" ref="H9">IF(ISERR(FIND("CLIENTE_VAZIA", INDEX(tbl_vendas564[Tipo_Erro], ROW()-ROW(tbl_vendas564[#Headers])))), 0, 1)</f>
        <v>0</v>
      </c>
      <c r="I9" cm="1">
        <f t="array" ref="I9">IF(ISERR(FIND("QUANTIDADE_NEGATIVA", INDEX(tbl_vendas564[Tipo_Erro], ROW()-ROW(tbl_vendas564[#Headers])))), 0, 1)</f>
        <v>1</v>
      </c>
      <c r="J9" cm="1">
        <f t="array" ref="J9">IF(ISERR(FIND("QUANTIDADE_VAZIA", INDEX(tbl_vendas564[Tipo_Erro], ROW()-ROW(tbl_vendas564[#Headers])))), 0, 1)</f>
        <v>0</v>
      </c>
      <c r="K9" cm="1">
        <f t="array" ref="K9">IF(ISERR(FIND("CIDADE_VAZIA", INDEX(tbl_vendas564[Tipo_Erro], ROW()-ROW(tbl_vendas564[#Headers])))), 0, 1)</f>
        <v>1</v>
      </c>
      <c r="L9" s="1" t="s">
        <v>25</v>
      </c>
      <c r="M9" t="s">
        <v>26</v>
      </c>
      <c r="N9" t="s">
        <v>15</v>
      </c>
      <c r="O9">
        <v>-3</v>
      </c>
      <c r="P9" s="2"/>
      <c r="Q9" s="3" t="str">
        <f t="shared" si="3"/>
        <v/>
      </c>
      <c r="T9" s="15" t="s">
        <v>168</v>
      </c>
      <c r="U9" t="s">
        <v>186</v>
      </c>
      <c r="Z9" t="s">
        <v>195</v>
      </c>
      <c r="AA9" t="s">
        <v>4</v>
      </c>
      <c r="AB9" t="s">
        <v>183</v>
      </c>
    </row>
    <row r="10" spans="1:34" x14ac:dyDescent="0.25">
      <c r="A10">
        <f t="shared" si="4"/>
        <v>8</v>
      </c>
      <c r="B10">
        <v>8</v>
      </c>
      <c r="C10" t="str">
        <f t="shared" si="0"/>
        <v>COMPLETA</v>
      </c>
      <c r="D10" t="str">
        <f t="shared" si="1"/>
        <v>OK</v>
      </c>
      <c r="E10" t="str">
        <f t="shared" si="2"/>
        <v/>
      </c>
      <c r="F10" cm="1">
        <f t="array" ref="F10">IF(ISERR(FIND("PRECO_VAZIA", INDEX(tbl_vendas564[Tipo_Erro], ROW()-ROW(tbl_vendas564[#Headers])))), 0, 1)</f>
        <v>0</v>
      </c>
      <c r="G10" cm="1">
        <f t="array" ref="G10">IF(ISERR(FIND("PRODUTO_VAZIA", INDEX(tbl_vendas564[Tipo_Erro], ROW()-ROW(tbl_vendas564[#Headers])))), 0, 1)</f>
        <v>0</v>
      </c>
      <c r="H10" cm="1">
        <f t="array" ref="H10">IF(ISERR(FIND("CLIENTE_VAZIA", INDEX(tbl_vendas564[Tipo_Erro], ROW()-ROW(tbl_vendas564[#Headers])))), 0, 1)</f>
        <v>0</v>
      </c>
      <c r="I10" cm="1">
        <f t="array" ref="I10">IF(ISERR(FIND("QUANTIDADE_NEGATIVA", INDEX(tbl_vendas564[Tipo_Erro], ROW()-ROW(tbl_vendas564[#Headers])))), 0, 1)</f>
        <v>0</v>
      </c>
      <c r="J10" cm="1">
        <f t="array" ref="J10">IF(ISERR(FIND("QUANTIDADE_VAZIA", INDEX(tbl_vendas564[Tipo_Erro], ROW()-ROW(tbl_vendas564[#Headers])))), 0, 1)</f>
        <v>0</v>
      </c>
      <c r="K10" cm="1">
        <f t="array" ref="K10">IF(ISERR(FIND("CIDADE_VAZIA", INDEX(tbl_vendas564[Tipo_Erro], ROW()-ROW(tbl_vendas564[#Headers])))), 0, 1)</f>
        <v>0</v>
      </c>
      <c r="L10" t="s">
        <v>27</v>
      </c>
      <c r="M10" t="s">
        <v>12</v>
      </c>
      <c r="N10" t="s">
        <v>9</v>
      </c>
      <c r="O10">
        <v>10</v>
      </c>
      <c r="P10">
        <v>206.57</v>
      </c>
      <c r="Q10" s="3">
        <f t="shared" si="3"/>
        <v>206.57</v>
      </c>
      <c r="R10" t="s">
        <v>13</v>
      </c>
      <c r="T10" s="16" t="s">
        <v>185</v>
      </c>
      <c r="U10" s="20">
        <v>0.92500000000000004</v>
      </c>
      <c r="Z10" t="s">
        <v>179</v>
      </c>
      <c r="AA10">
        <f>COUNTIF(tbl_vendas564[Tipo_Erro],"*PRECO_VAZIA*")</f>
        <v>108</v>
      </c>
      <c r="AB10" s="18">
        <f>IFERROR( COUNTIF(tbl_vendas564[Tipo_Erro],"*PRECO_VAZIA*") / COUNTA(tbl_vendas564[ID_Venda]), 0 )</f>
        <v>0.54</v>
      </c>
    </row>
    <row r="11" spans="1:34" x14ac:dyDescent="0.25">
      <c r="A11">
        <f t="shared" si="4"/>
        <v>9</v>
      </c>
      <c r="B11">
        <v>8</v>
      </c>
      <c r="C11" t="str">
        <f t="shared" si="0"/>
        <v>INCOMPLETA</v>
      </c>
      <c r="D11" t="str">
        <f t="shared" si="1"/>
        <v>ERRO</v>
      </c>
      <c r="E11" t="str">
        <f t="shared" si="2"/>
        <v>PRECO_VAZIA; PRODUTO_VAZIA</v>
      </c>
      <c r="F11" cm="1">
        <f t="array" ref="F11">IF(ISERR(FIND("PRECO_VAZIA", INDEX(tbl_vendas564[Tipo_Erro], ROW()-ROW(tbl_vendas564[#Headers])))), 0, 1)</f>
        <v>1</v>
      </c>
      <c r="G11" cm="1">
        <f t="array" ref="G11">IF(ISERR(FIND("PRODUTO_VAZIA", INDEX(tbl_vendas564[Tipo_Erro], ROW()-ROW(tbl_vendas564[#Headers])))), 0, 1)</f>
        <v>1</v>
      </c>
      <c r="H11" cm="1">
        <f t="array" ref="H11">IF(ISERR(FIND("CLIENTE_VAZIA", INDEX(tbl_vendas564[Tipo_Erro], ROW()-ROW(tbl_vendas564[#Headers])))), 0, 1)</f>
        <v>0</v>
      </c>
      <c r="I11" cm="1">
        <f t="array" ref="I11">IF(ISERR(FIND("QUANTIDADE_NEGATIVA", INDEX(tbl_vendas564[Tipo_Erro], ROW()-ROW(tbl_vendas564[#Headers])))), 0, 1)</f>
        <v>0</v>
      </c>
      <c r="J11" cm="1">
        <f t="array" ref="J11">IF(ISERR(FIND("QUANTIDADE_VAZIA", INDEX(tbl_vendas564[Tipo_Erro], ROW()-ROW(tbl_vendas564[#Headers])))), 0, 1)</f>
        <v>0</v>
      </c>
      <c r="K11" cm="1">
        <f t="array" ref="K11">IF(ISERR(FIND("CIDADE_VAZIA", INDEX(tbl_vendas564[Tipo_Erro], ROW()-ROW(tbl_vendas564[#Headers])))), 0, 1)</f>
        <v>0</v>
      </c>
      <c r="L11" s="1" t="s">
        <v>44</v>
      </c>
      <c r="M11" t="s">
        <v>12</v>
      </c>
      <c r="O11">
        <v>10</v>
      </c>
      <c r="P11" s="2"/>
      <c r="Q11" s="3" t="str">
        <f t="shared" si="3"/>
        <v/>
      </c>
      <c r="R11" t="s">
        <v>10</v>
      </c>
      <c r="T11" s="16" t="s">
        <v>161</v>
      </c>
      <c r="U11" s="20">
        <v>7.4999999999999997E-2</v>
      </c>
      <c r="Z11" t="s">
        <v>180</v>
      </c>
      <c r="AA11">
        <f>COUNTIF(tbl_vendas564[Tipo_Erro],"*PRODUTO_VAZIA*")</f>
        <v>28</v>
      </c>
      <c r="AB11" s="18">
        <f>IFERROR( COUNTIF(tbl_vendas564[Tipo_Erro],"*PRODUTO_VAZIA*") / COUNTA(tbl_vendas564[ID_Venda]), 0 )</f>
        <v>0.14000000000000001</v>
      </c>
    </row>
    <row r="12" spans="1:34" x14ac:dyDescent="0.25">
      <c r="A12">
        <f t="shared" si="4"/>
        <v>10</v>
      </c>
      <c r="B12">
        <v>9</v>
      </c>
      <c r="C12" t="str">
        <f t="shared" si="0"/>
        <v>INCOMPLETA</v>
      </c>
      <c r="D12" t="str">
        <f t="shared" si="1"/>
        <v>ERRO</v>
      </c>
      <c r="E12" t="str">
        <f t="shared" si="2"/>
        <v>QUANTIDADE_NEGATIVA; PRECO_VAZIA</v>
      </c>
      <c r="F12" cm="1">
        <f t="array" ref="F12">IF(ISERR(FIND("PRECO_VAZIA", INDEX(tbl_vendas564[Tipo_Erro], ROW()-ROW(tbl_vendas564[#Headers])))), 0, 1)</f>
        <v>1</v>
      </c>
      <c r="G12" cm="1">
        <f t="array" ref="G12">IF(ISERR(FIND("PRODUTO_VAZIA", INDEX(tbl_vendas564[Tipo_Erro], ROW()-ROW(tbl_vendas564[#Headers])))), 0, 1)</f>
        <v>0</v>
      </c>
      <c r="H12" cm="1">
        <f t="array" ref="H12">IF(ISERR(FIND("CLIENTE_VAZIA", INDEX(tbl_vendas564[Tipo_Erro], ROW()-ROW(tbl_vendas564[#Headers])))), 0, 1)</f>
        <v>0</v>
      </c>
      <c r="I12" cm="1">
        <f t="array" ref="I12">IF(ISERR(FIND("QUANTIDADE_NEGATIVA", INDEX(tbl_vendas564[Tipo_Erro], ROW()-ROW(tbl_vendas564[#Headers])))), 0, 1)</f>
        <v>1</v>
      </c>
      <c r="J12" cm="1">
        <f t="array" ref="J12">IF(ISERR(FIND("QUANTIDADE_VAZIA", INDEX(tbl_vendas564[Tipo_Erro], ROW()-ROW(tbl_vendas564[#Headers])))), 0, 1)</f>
        <v>0</v>
      </c>
      <c r="K12" cm="1">
        <f t="array" ref="K12">IF(ISERR(FIND("CIDADE_VAZIA", INDEX(tbl_vendas564[Tipo_Erro], ROW()-ROW(tbl_vendas564[#Headers])))), 0, 1)</f>
        <v>0</v>
      </c>
      <c r="L12" s="1" t="s">
        <v>28</v>
      </c>
      <c r="M12" t="s">
        <v>8</v>
      </c>
      <c r="N12" t="s">
        <v>9</v>
      </c>
      <c r="O12">
        <v>-3</v>
      </c>
      <c r="P12" s="2">
        <v>-10</v>
      </c>
      <c r="Q12" s="3" t="str">
        <f t="shared" si="3"/>
        <v/>
      </c>
      <c r="R12" t="s">
        <v>13</v>
      </c>
      <c r="T12" s="16" t="s">
        <v>169</v>
      </c>
      <c r="U12" s="19">
        <v>1</v>
      </c>
      <c r="Z12" t="s">
        <v>181</v>
      </c>
      <c r="AA12">
        <f>COUNTIF(tbl_vendas564[Tipo_Erro],"*CIDADE_VAZIA*")</f>
        <v>33</v>
      </c>
      <c r="AB12" s="18">
        <f>IFERROR( COUNTIF(tbl_vendas564[Tipo_Erro],"*CIDADE_VAZIA*") / COUNTA(tbl_vendas564[ID_Venda]), 0 )</f>
        <v>0.16500000000000001</v>
      </c>
    </row>
    <row r="13" spans="1:34" x14ac:dyDescent="0.25">
      <c r="A13">
        <f t="shared" si="4"/>
        <v>11</v>
      </c>
      <c r="B13">
        <v>10</v>
      </c>
      <c r="C13" t="str">
        <f t="shared" si="0"/>
        <v>INCOMPLETA</v>
      </c>
      <c r="D13" t="str">
        <f t="shared" si="1"/>
        <v>ERRO</v>
      </c>
      <c r="E13" t="str">
        <f t="shared" si="2"/>
        <v>QUANTIDADE_VAZIA; QUANTIDADE_NEGATIVA; PRECO_VAZIA; CLIENTE_VAZIA; PRODUTO_VAZIA</v>
      </c>
      <c r="F13" cm="1">
        <f t="array" ref="F13">IF(ISERR(FIND("PRECO_VAZIA", INDEX(tbl_vendas564[Tipo_Erro], ROW()-ROW(tbl_vendas564[#Headers])))), 0, 1)</f>
        <v>1</v>
      </c>
      <c r="G13" cm="1">
        <f t="array" ref="G13">IF(ISERR(FIND("PRODUTO_VAZIA", INDEX(tbl_vendas564[Tipo_Erro], ROW()-ROW(tbl_vendas564[#Headers])))), 0, 1)</f>
        <v>1</v>
      </c>
      <c r="H13" cm="1">
        <f t="array" ref="H13">IF(ISERR(FIND("CLIENTE_VAZIA", INDEX(tbl_vendas564[Tipo_Erro], ROW()-ROW(tbl_vendas564[#Headers])))), 0, 1)</f>
        <v>1</v>
      </c>
      <c r="I13" cm="1">
        <f t="array" ref="I13">IF(ISERR(FIND("QUANTIDADE_NEGATIVA", INDEX(tbl_vendas564[Tipo_Erro], ROW()-ROW(tbl_vendas564[#Headers])))), 0, 1)</f>
        <v>1</v>
      </c>
      <c r="J13" cm="1">
        <f t="array" ref="J13">IF(ISERR(FIND("QUANTIDADE_VAZIA", INDEX(tbl_vendas564[Tipo_Erro], ROW()-ROW(tbl_vendas564[#Headers])))), 0, 1)</f>
        <v>1</v>
      </c>
      <c r="K13" cm="1">
        <f t="array" ref="K13">IF(ISERR(FIND("CIDADE_VAZIA", INDEX(tbl_vendas564[Tipo_Erro], ROW()-ROW(tbl_vendas564[#Headers])))), 0, 1)</f>
        <v>0</v>
      </c>
      <c r="L13" s="1" t="s">
        <v>29</v>
      </c>
      <c r="O13">
        <v>-3</v>
      </c>
      <c r="P13" s="2">
        <v>-10</v>
      </c>
      <c r="Q13" s="3" t="str">
        <f t="shared" si="3"/>
        <v/>
      </c>
      <c r="R13" t="s">
        <v>17</v>
      </c>
      <c r="Z13" t="s">
        <v>182</v>
      </c>
      <c r="AA13">
        <f>COUNTIF(tbl_vendas564[Tipo_Erro],"*QUANTIDADE_NEGATIVA*")</f>
        <v>48</v>
      </c>
      <c r="AB13" s="18">
        <f>IFERROR( COUNTIF(tbl_vendas564[Tipo_Erro],"QUANTIDADE_NEGATIVA*") / COUNTA(tbl_vendas564[ID_Venda]), 0 )</f>
        <v>0.16</v>
      </c>
    </row>
    <row r="14" spans="1:34" x14ac:dyDescent="0.25">
      <c r="A14">
        <f t="shared" si="4"/>
        <v>12</v>
      </c>
      <c r="B14">
        <v>11</v>
      </c>
      <c r="C14" t="str">
        <f t="shared" si="0"/>
        <v>INCOMPLETA</v>
      </c>
      <c r="D14" t="str">
        <f t="shared" si="1"/>
        <v>ERRO</v>
      </c>
      <c r="E14" t="str">
        <f t="shared" si="2"/>
        <v>QUANTIDADE_VAZIA; PRECO_VAZIA; CLIENTE_VAZIA; CIDADE_VAZIA</v>
      </c>
      <c r="F14" cm="1">
        <f t="array" ref="F14">IF(ISERR(FIND("PRECO_VAZIA", INDEX(tbl_vendas564[Tipo_Erro], ROW()-ROW(tbl_vendas564[#Headers])))), 0, 1)</f>
        <v>1</v>
      </c>
      <c r="G14" cm="1">
        <f t="array" ref="G14">IF(ISERR(FIND("PRODUTO_VAZIA", INDEX(tbl_vendas564[Tipo_Erro], ROW()-ROW(tbl_vendas564[#Headers])))), 0, 1)</f>
        <v>0</v>
      </c>
      <c r="H14" cm="1">
        <f t="array" ref="H14">IF(ISERR(FIND("CLIENTE_VAZIA", INDEX(tbl_vendas564[Tipo_Erro], ROW()-ROW(tbl_vendas564[#Headers])))), 0, 1)</f>
        <v>1</v>
      </c>
      <c r="I14" cm="1">
        <f t="array" ref="I14">IF(ISERR(FIND("QUANTIDADE_NEGATIVA", INDEX(tbl_vendas564[Tipo_Erro], ROW()-ROW(tbl_vendas564[#Headers])))), 0, 1)</f>
        <v>0</v>
      </c>
      <c r="J14" cm="1">
        <f t="array" ref="J14">IF(ISERR(FIND("QUANTIDADE_VAZIA", INDEX(tbl_vendas564[Tipo_Erro], ROW()-ROW(tbl_vendas564[#Headers])))), 0, 1)</f>
        <v>1</v>
      </c>
      <c r="K14" cm="1">
        <f t="array" ref="K14">IF(ISERR(FIND("CIDADE_VAZIA", INDEX(tbl_vendas564[Tipo_Erro], ROW()-ROW(tbl_vendas564[#Headers])))), 0, 1)</f>
        <v>1</v>
      </c>
      <c r="L14" s="1" t="s">
        <v>30</v>
      </c>
      <c r="N14" t="s">
        <v>31</v>
      </c>
      <c r="O14">
        <v>3</v>
      </c>
      <c r="P14" s="2"/>
      <c r="Q14" s="3" t="str">
        <f t="shared" si="3"/>
        <v/>
      </c>
      <c r="Z14" t="s">
        <v>184</v>
      </c>
      <c r="AA14">
        <f>COUNTIF(tbl_vendas564[Tipo_Erro],"*QUANTIDADE_VAZIA*")</f>
        <v>42</v>
      </c>
      <c r="AB14" s="18">
        <f>IFERROR( COUNTIF(tbl_vendas564[Tipo_Erro],"QUANTIDADE_VAZIA*") / COUNTA(tbl_vendas564[ID_Venda]), 0 )</f>
        <v>0.21</v>
      </c>
    </row>
    <row r="15" spans="1:34" x14ac:dyDescent="0.25">
      <c r="A15">
        <f t="shared" si="4"/>
        <v>13</v>
      </c>
      <c r="B15">
        <v>12</v>
      </c>
      <c r="C15" t="str">
        <f t="shared" si="0"/>
        <v>INCOMPLETA</v>
      </c>
      <c r="D15" t="str">
        <f t="shared" si="1"/>
        <v>ERRO</v>
      </c>
      <c r="E15" t="str">
        <f t="shared" si="2"/>
        <v>QUANTIDADE_NEGATIVA; PRECO_VAZIA</v>
      </c>
      <c r="F15" cm="1">
        <f t="array" ref="F15">IF(ISERR(FIND("PRECO_VAZIA", INDEX(tbl_vendas564[Tipo_Erro], ROW()-ROW(tbl_vendas564[#Headers])))), 0, 1)</f>
        <v>1</v>
      </c>
      <c r="G15" cm="1">
        <f t="array" ref="G15">IF(ISERR(FIND("PRODUTO_VAZIA", INDEX(tbl_vendas564[Tipo_Erro], ROW()-ROW(tbl_vendas564[#Headers])))), 0, 1)</f>
        <v>0</v>
      </c>
      <c r="H15" cm="1">
        <f t="array" ref="H15">IF(ISERR(FIND("CLIENTE_VAZIA", INDEX(tbl_vendas564[Tipo_Erro], ROW()-ROW(tbl_vendas564[#Headers])))), 0, 1)</f>
        <v>0</v>
      </c>
      <c r="I15" cm="1">
        <f t="array" ref="I15">IF(ISERR(FIND("QUANTIDADE_NEGATIVA", INDEX(tbl_vendas564[Tipo_Erro], ROW()-ROW(tbl_vendas564[#Headers])))), 0, 1)</f>
        <v>1</v>
      </c>
      <c r="J15" cm="1">
        <f t="array" ref="J15">IF(ISERR(FIND("QUANTIDADE_VAZIA", INDEX(tbl_vendas564[Tipo_Erro], ROW()-ROW(tbl_vendas564[#Headers])))), 0, 1)</f>
        <v>0</v>
      </c>
      <c r="K15" cm="1">
        <f t="array" ref="K15">IF(ISERR(FIND("CIDADE_VAZIA", INDEX(tbl_vendas564[Tipo_Erro], ROW()-ROW(tbl_vendas564[#Headers])))), 0, 1)</f>
        <v>0</v>
      </c>
      <c r="L15" s="1" t="s">
        <v>32</v>
      </c>
      <c r="M15" t="s">
        <v>33</v>
      </c>
      <c r="N15" t="s">
        <v>23</v>
      </c>
      <c r="O15">
        <v>-3</v>
      </c>
      <c r="P15" s="2">
        <v>-10</v>
      </c>
      <c r="Q15" s="3" t="str">
        <f t="shared" si="3"/>
        <v/>
      </c>
      <c r="R15" t="s">
        <v>10</v>
      </c>
      <c r="T15" s="16" t="s">
        <v>178</v>
      </c>
    </row>
    <row r="16" spans="1:34" x14ac:dyDescent="0.25">
      <c r="A16">
        <f t="shared" si="4"/>
        <v>14</v>
      </c>
      <c r="B16">
        <v>13</v>
      </c>
      <c r="C16" t="str">
        <f t="shared" si="0"/>
        <v>COMPLETA</v>
      </c>
      <c r="D16" t="str">
        <f t="shared" si="1"/>
        <v>OK</v>
      </c>
      <c r="E16" t="str">
        <f t="shared" si="2"/>
        <v/>
      </c>
      <c r="F16" cm="1">
        <f t="array" ref="F16">IF(ISERR(FIND("PRECO_VAZIA", INDEX(tbl_vendas564[Tipo_Erro], ROW()-ROW(tbl_vendas564[#Headers])))), 0, 1)</f>
        <v>0</v>
      </c>
      <c r="G16" cm="1">
        <f t="array" ref="G16">IF(ISERR(FIND("PRODUTO_VAZIA", INDEX(tbl_vendas564[Tipo_Erro], ROW()-ROW(tbl_vendas564[#Headers])))), 0, 1)</f>
        <v>0</v>
      </c>
      <c r="H16" cm="1">
        <f t="array" ref="H16">IF(ISERR(FIND("CLIENTE_VAZIA", INDEX(tbl_vendas564[Tipo_Erro], ROW()-ROW(tbl_vendas564[#Headers])))), 0, 1)</f>
        <v>0</v>
      </c>
      <c r="I16" cm="1">
        <f t="array" ref="I16">IF(ISERR(FIND("QUANTIDADE_NEGATIVA", INDEX(tbl_vendas564[Tipo_Erro], ROW()-ROW(tbl_vendas564[#Headers])))), 0, 1)</f>
        <v>0</v>
      </c>
      <c r="J16" cm="1">
        <f t="array" ref="J16">IF(ISERR(FIND("QUANTIDADE_VAZIA", INDEX(tbl_vendas564[Tipo_Erro], ROW()-ROW(tbl_vendas564[#Headers])))), 0, 1)</f>
        <v>0</v>
      </c>
      <c r="K16" cm="1">
        <f t="array" ref="K16">IF(ISERR(FIND("CIDADE_VAZIA", INDEX(tbl_vendas564[Tipo_Erro], ROW()-ROW(tbl_vendas564[#Headers])))), 0, 1)</f>
        <v>0</v>
      </c>
      <c r="L16" s="1" t="s">
        <v>34</v>
      </c>
      <c r="M16" t="s">
        <v>12</v>
      </c>
      <c r="N16" t="s">
        <v>23</v>
      </c>
      <c r="O16">
        <v>10</v>
      </c>
      <c r="P16" s="2">
        <v>30</v>
      </c>
      <c r="Q16" s="3">
        <f t="shared" si="3"/>
        <v>30</v>
      </c>
      <c r="R16" t="s">
        <v>21</v>
      </c>
      <c r="T16" s="15" t="s">
        <v>168</v>
      </c>
      <c r="U16" s="15" t="s">
        <v>193</v>
      </c>
      <c r="V16" t="s">
        <v>194</v>
      </c>
      <c r="Z16" t="s">
        <v>195</v>
      </c>
      <c r="AA16" t="s">
        <v>183</v>
      </c>
      <c r="AC16" s="15" t="s">
        <v>168</v>
      </c>
      <c r="AD16" t="s">
        <v>193</v>
      </c>
      <c r="AE16" t="s">
        <v>194</v>
      </c>
    </row>
    <row r="17" spans="1:34" x14ac:dyDescent="0.25">
      <c r="A17">
        <f t="shared" si="4"/>
        <v>15</v>
      </c>
      <c r="B17">
        <v>14</v>
      </c>
      <c r="C17" t="str">
        <f t="shared" si="0"/>
        <v>INCOMPLETA</v>
      </c>
      <c r="D17" t="str">
        <f t="shared" si="1"/>
        <v>ERRO</v>
      </c>
      <c r="E17" t="str">
        <f t="shared" si="2"/>
        <v>CIDADE_VAZIA</v>
      </c>
      <c r="F17" cm="1">
        <f t="array" ref="F17">IF(ISERR(FIND("PRECO_VAZIA", INDEX(tbl_vendas564[Tipo_Erro], ROW()-ROW(tbl_vendas564[#Headers])))), 0, 1)</f>
        <v>0</v>
      </c>
      <c r="G17" cm="1">
        <f t="array" ref="G17">IF(ISERR(FIND("PRODUTO_VAZIA", INDEX(tbl_vendas564[Tipo_Erro], ROW()-ROW(tbl_vendas564[#Headers])))), 0, 1)</f>
        <v>0</v>
      </c>
      <c r="H17" cm="1">
        <f t="array" ref="H17">IF(ISERR(FIND("CLIENTE_VAZIA", INDEX(tbl_vendas564[Tipo_Erro], ROW()-ROW(tbl_vendas564[#Headers])))), 0, 1)</f>
        <v>0</v>
      </c>
      <c r="I17" cm="1">
        <f t="array" ref="I17">IF(ISERR(FIND("QUANTIDADE_NEGATIVA", INDEX(tbl_vendas564[Tipo_Erro], ROW()-ROW(tbl_vendas564[#Headers])))), 0, 1)</f>
        <v>0</v>
      </c>
      <c r="J17" cm="1">
        <f t="array" ref="J17">IF(ISERR(FIND("QUANTIDADE_VAZIA", INDEX(tbl_vendas564[Tipo_Erro], ROW()-ROW(tbl_vendas564[#Headers])))), 0, 1)</f>
        <v>0</v>
      </c>
      <c r="K17" cm="1">
        <f t="array" ref="K17">IF(ISERR(FIND("CIDADE_VAZIA", INDEX(tbl_vendas564[Tipo_Erro], ROW()-ROW(tbl_vendas564[#Headers])))), 0, 1)</f>
        <v>1</v>
      </c>
      <c r="L17" s="1" t="s">
        <v>36</v>
      </c>
      <c r="M17" t="s">
        <v>33</v>
      </c>
      <c r="N17" t="s">
        <v>37</v>
      </c>
      <c r="P17" s="2">
        <v>258.76</v>
      </c>
      <c r="Q17" s="3">
        <f t="shared" si="3"/>
        <v>258.76</v>
      </c>
      <c r="T17" s="16" t="s">
        <v>181</v>
      </c>
      <c r="U17">
        <v>33</v>
      </c>
      <c r="V17" s="21">
        <v>0.16500000000000001</v>
      </c>
      <c r="Z17" t="s">
        <v>179</v>
      </c>
      <c r="AA17" s="18">
        <f>IFERROR( COUNTIF(tbl_vendas564[Tipo_Erro],"*PRECO_VAZIA*") / COUNTA(tbl_vendas564[ID_Venda]), 0 )</f>
        <v>0.54</v>
      </c>
      <c r="AC17" s="16" t="s">
        <v>181</v>
      </c>
      <c r="AD17">
        <v>33</v>
      </c>
      <c r="AE17" s="21">
        <v>0.16500000000000001</v>
      </c>
    </row>
    <row r="18" spans="1:34" x14ac:dyDescent="0.25">
      <c r="A18">
        <f t="shared" si="4"/>
        <v>16</v>
      </c>
      <c r="B18">
        <v>15</v>
      </c>
      <c r="C18" t="str">
        <f t="shared" si="0"/>
        <v>INCOMPLETA</v>
      </c>
      <c r="D18" t="str">
        <f t="shared" si="1"/>
        <v>ERRO</v>
      </c>
      <c r="E18" t="str">
        <f t="shared" si="2"/>
        <v>QUANTIDADE_VAZIA; CLIENTE_VAZIA</v>
      </c>
      <c r="F18" cm="1">
        <f t="array" ref="F18">IF(ISERR(FIND("PRECO_VAZIA", INDEX(tbl_vendas564[Tipo_Erro], ROW()-ROW(tbl_vendas564[#Headers])))), 0, 1)</f>
        <v>0</v>
      </c>
      <c r="G18" cm="1">
        <f t="array" ref="G18">IF(ISERR(FIND("PRODUTO_VAZIA", INDEX(tbl_vendas564[Tipo_Erro], ROW()-ROW(tbl_vendas564[#Headers])))), 0, 1)</f>
        <v>0</v>
      </c>
      <c r="H18" cm="1">
        <f t="array" ref="H18">IF(ISERR(FIND("CLIENTE_VAZIA", INDEX(tbl_vendas564[Tipo_Erro], ROW()-ROW(tbl_vendas564[#Headers])))), 0, 1)</f>
        <v>1</v>
      </c>
      <c r="I18" cm="1">
        <f t="array" ref="I18">IF(ISERR(FIND("QUANTIDADE_NEGATIVA", INDEX(tbl_vendas564[Tipo_Erro], ROW()-ROW(tbl_vendas564[#Headers])))), 0, 1)</f>
        <v>0</v>
      </c>
      <c r="J18" cm="1">
        <f t="array" ref="J18">IF(ISERR(FIND("QUANTIDADE_VAZIA", INDEX(tbl_vendas564[Tipo_Erro], ROW()-ROW(tbl_vendas564[#Headers])))), 0, 1)</f>
        <v>1</v>
      </c>
      <c r="K18" cm="1">
        <f t="array" ref="K18">IF(ISERR(FIND("CIDADE_VAZIA", INDEX(tbl_vendas564[Tipo_Erro], ROW()-ROW(tbl_vendas564[#Headers])))), 0, 1)</f>
        <v>0</v>
      </c>
      <c r="L18" t="s">
        <v>38</v>
      </c>
      <c r="N18" t="s">
        <v>9</v>
      </c>
      <c r="O18">
        <v>10</v>
      </c>
      <c r="P18">
        <v>383.63</v>
      </c>
      <c r="Q18" s="3">
        <f t="shared" si="3"/>
        <v>383.63</v>
      </c>
      <c r="R18" t="s">
        <v>10</v>
      </c>
      <c r="T18" s="16" t="s">
        <v>179</v>
      </c>
      <c r="U18">
        <v>108</v>
      </c>
      <c r="V18" s="21">
        <v>0.54</v>
      </c>
      <c r="Z18" t="s">
        <v>180</v>
      </c>
      <c r="AA18" s="18">
        <f>IFERROR( COUNTIF(tbl_vendas564[Tipo_Erro],"*PRODUTO_VAZIA*") / COUNTA(tbl_vendas564[ID_Venda]), 0 )</f>
        <v>0.14000000000000001</v>
      </c>
      <c r="AC18" s="16" t="s">
        <v>179</v>
      </c>
      <c r="AD18">
        <v>108</v>
      </c>
      <c r="AE18" s="21">
        <v>0.54</v>
      </c>
    </row>
    <row r="19" spans="1:34" x14ac:dyDescent="0.25">
      <c r="A19">
        <f t="shared" si="4"/>
        <v>17</v>
      </c>
      <c r="B19">
        <v>16</v>
      </c>
      <c r="C19" t="str">
        <f t="shared" si="0"/>
        <v>INCOMPLETA</v>
      </c>
      <c r="D19" t="str">
        <f t="shared" si="1"/>
        <v>ERRO</v>
      </c>
      <c r="E19" t="str">
        <f t="shared" si="2"/>
        <v/>
      </c>
      <c r="F19" cm="1">
        <f t="array" ref="F19">IF(ISERR(FIND("PRECO_VAZIA", INDEX(tbl_vendas564[Tipo_Erro], ROW()-ROW(tbl_vendas564[#Headers])))), 0, 1)</f>
        <v>0</v>
      </c>
      <c r="G19" cm="1">
        <f t="array" ref="G19">IF(ISERR(FIND("PRODUTO_VAZIA", INDEX(tbl_vendas564[Tipo_Erro], ROW()-ROW(tbl_vendas564[#Headers])))), 0, 1)</f>
        <v>0</v>
      </c>
      <c r="H19" cm="1">
        <f t="array" ref="H19">IF(ISERR(FIND("CLIENTE_VAZIA", INDEX(tbl_vendas564[Tipo_Erro], ROW()-ROW(tbl_vendas564[#Headers])))), 0, 1)</f>
        <v>0</v>
      </c>
      <c r="I19" cm="1">
        <f t="array" ref="I19">IF(ISERR(FIND("QUANTIDADE_NEGATIVA", INDEX(tbl_vendas564[Tipo_Erro], ROW()-ROW(tbl_vendas564[#Headers])))), 0, 1)</f>
        <v>0</v>
      </c>
      <c r="J19" cm="1">
        <f t="array" ref="J19">IF(ISERR(FIND("QUANTIDADE_VAZIA", INDEX(tbl_vendas564[Tipo_Erro], ROW()-ROW(tbl_vendas564[#Headers])))), 0, 1)</f>
        <v>0</v>
      </c>
      <c r="K19" cm="1">
        <f t="array" ref="K19">IF(ISERR(FIND("CIDADE_VAZIA", INDEX(tbl_vendas564[Tipo_Erro], ROW()-ROW(tbl_vendas564[#Headers])))), 0, 1)</f>
        <v>0</v>
      </c>
      <c r="L19" s="1" t="s">
        <v>39</v>
      </c>
      <c r="M19" t="s">
        <v>12</v>
      </c>
      <c r="N19" t="s">
        <v>19</v>
      </c>
      <c r="P19" s="2">
        <v>38.380000000000003</v>
      </c>
      <c r="Q19" s="3">
        <f t="shared" si="3"/>
        <v>38.380000000000003</v>
      </c>
      <c r="R19" t="s">
        <v>21</v>
      </c>
      <c r="T19" s="16" t="s">
        <v>180</v>
      </c>
      <c r="U19">
        <v>28</v>
      </c>
      <c r="V19" s="21">
        <v>0.14000000000000001</v>
      </c>
      <c r="Z19" t="s">
        <v>181</v>
      </c>
      <c r="AA19" s="18">
        <f>IFERROR( COUNTIF(tbl_vendas564[Tipo_Erro],"*CIDADE_VAZIA*") / COUNTA(tbl_vendas564[ID_Venda]), 0 )</f>
        <v>0.16500000000000001</v>
      </c>
      <c r="AC19" s="16" t="s">
        <v>180</v>
      </c>
      <c r="AD19">
        <v>28</v>
      </c>
      <c r="AE19" s="21">
        <v>0.14000000000000001</v>
      </c>
    </row>
    <row r="20" spans="1:34" x14ac:dyDescent="0.25">
      <c r="A20">
        <f t="shared" si="4"/>
        <v>18</v>
      </c>
      <c r="B20">
        <v>17</v>
      </c>
      <c r="C20" t="str">
        <f t="shared" si="0"/>
        <v>INCOMPLETA</v>
      </c>
      <c r="D20" t="str">
        <f t="shared" si="1"/>
        <v>ERRO</v>
      </c>
      <c r="E20" t="str">
        <f t="shared" si="2"/>
        <v>QUANTIDADE_VAZIA; QUANTIDADE_NEGATIVA; PRECO_VAZIA; CLIENTE_VAZIA</v>
      </c>
      <c r="F20" cm="1">
        <f t="array" ref="F20">IF(ISERR(FIND("PRECO_VAZIA", INDEX(tbl_vendas564[Tipo_Erro], ROW()-ROW(tbl_vendas564[#Headers])))), 0, 1)</f>
        <v>1</v>
      </c>
      <c r="G20" cm="1">
        <f t="array" ref="G20">IF(ISERR(FIND("PRODUTO_VAZIA", INDEX(tbl_vendas564[Tipo_Erro], ROW()-ROW(tbl_vendas564[#Headers])))), 0, 1)</f>
        <v>0</v>
      </c>
      <c r="H20" cm="1">
        <f t="array" ref="H20">IF(ISERR(FIND("CLIENTE_VAZIA", INDEX(tbl_vendas564[Tipo_Erro], ROW()-ROW(tbl_vendas564[#Headers])))), 0, 1)</f>
        <v>1</v>
      </c>
      <c r="I20" cm="1">
        <f t="array" ref="I20">IF(ISERR(FIND("QUANTIDADE_NEGATIVA", INDEX(tbl_vendas564[Tipo_Erro], ROW()-ROW(tbl_vendas564[#Headers])))), 0, 1)</f>
        <v>1</v>
      </c>
      <c r="J20" cm="1">
        <f t="array" ref="J20">IF(ISERR(FIND("QUANTIDADE_VAZIA", INDEX(tbl_vendas564[Tipo_Erro], ROW()-ROW(tbl_vendas564[#Headers])))), 0, 1)</f>
        <v>1</v>
      </c>
      <c r="K20" cm="1">
        <f t="array" ref="K20">IF(ISERR(FIND("CIDADE_VAZIA", INDEX(tbl_vendas564[Tipo_Erro], ROW()-ROW(tbl_vendas564[#Headers])))), 0, 1)</f>
        <v>0</v>
      </c>
      <c r="L20" s="1" t="s">
        <v>40</v>
      </c>
      <c r="N20" t="s">
        <v>15</v>
      </c>
      <c r="O20">
        <v>-3</v>
      </c>
      <c r="P20" s="2"/>
      <c r="Q20" s="3" t="str">
        <f t="shared" si="3"/>
        <v/>
      </c>
      <c r="R20" t="s">
        <v>17</v>
      </c>
      <c r="T20" s="16" t="s">
        <v>182</v>
      </c>
      <c r="U20">
        <v>48</v>
      </c>
      <c r="V20" s="21">
        <v>0.16</v>
      </c>
      <c r="Z20" t="s">
        <v>182</v>
      </c>
      <c r="AA20" s="18">
        <f>IFERROR( COUNTIF(tbl_vendas564[Tipo_Erro],"QUANTIDADE_NEGATIVA*") / COUNTA(tbl_vendas564[ID_Venda]), 0 )</f>
        <v>0.16</v>
      </c>
      <c r="AC20" s="16" t="s">
        <v>182</v>
      </c>
      <c r="AD20">
        <v>48</v>
      </c>
      <c r="AE20" s="21">
        <v>0.16</v>
      </c>
    </row>
    <row r="21" spans="1:34" x14ac:dyDescent="0.25">
      <c r="A21">
        <f t="shared" si="4"/>
        <v>19</v>
      </c>
      <c r="B21">
        <v>18</v>
      </c>
      <c r="C21" t="str">
        <f t="shared" si="0"/>
        <v>INCOMPLETA</v>
      </c>
      <c r="D21" t="str">
        <f t="shared" si="1"/>
        <v>ERRO</v>
      </c>
      <c r="E21" t="str">
        <f t="shared" si="2"/>
        <v>PRECO_VAZIA; CIDADE_VAZIA</v>
      </c>
      <c r="F21" cm="1">
        <f t="array" ref="F21">IF(ISERR(FIND("PRECO_VAZIA", INDEX(tbl_vendas564[Tipo_Erro], ROW()-ROW(tbl_vendas564[#Headers])))), 0, 1)</f>
        <v>1</v>
      </c>
      <c r="G21" cm="1">
        <f t="array" ref="G21">IF(ISERR(FIND("PRODUTO_VAZIA", INDEX(tbl_vendas564[Tipo_Erro], ROW()-ROW(tbl_vendas564[#Headers])))), 0, 1)</f>
        <v>0</v>
      </c>
      <c r="H21" cm="1">
        <f t="array" ref="H21">IF(ISERR(FIND("CLIENTE_VAZIA", INDEX(tbl_vendas564[Tipo_Erro], ROW()-ROW(tbl_vendas564[#Headers])))), 0, 1)</f>
        <v>0</v>
      </c>
      <c r="I21" cm="1">
        <f t="array" ref="I21">IF(ISERR(FIND("QUANTIDADE_NEGATIVA", INDEX(tbl_vendas564[Tipo_Erro], ROW()-ROW(tbl_vendas564[#Headers])))), 0, 1)</f>
        <v>0</v>
      </c>
      <c r="J21" cm="1">
        <f t="array" ref="J21">IF(ISERR(FIND("QUANTIDADE_VAZIA", INDEX(tbl_vendas564[Tipo_Erro], ROW()-ROW(tbl_vendas564[#Headers])))), 0, 1)</f>
        <v>0</v>
      </c>
      <c r="K21" cm="1">
        <f t="array" ref="K21">IF(ISERR(FIND("CIDADE_VAZIA", INDEX(tbl_vendas564[Tipo_Erro], ROW()-ROW(tbl_vendas564[#Headers])))), 0, 1)</f>
        <v>1</v>
      </c>
      <c r="L21" s="1" t="s">
        <v>41</v>
      </c>
      <c r="M21" t="s">
        <v>33</v>
      </c>
      <c r="N21" t="s">
        <v>9</v>
      </c>
      <c r="P21" s="2">
        <v>-10</v>
      </c>
      <c r="Q21" s="3" t="str">
        <f t="shared" si="3"/>
        <v/>
      </c>
      <c r="T21" s="16" t="s">
        <v>184</v>
      </c>
      <c r="U21">
        <v>42</v>
      </c>
      <c r="V21" s="21">
        <v>0.21</v>
      </c>
      <c r="Z21" t="s">
        <v>184</v>
      </c>
      <c r="AA21" s="18">
        <f>IFERROR( COUNTIF(tbl_vendas564[Tipo_Erro],"QUANTIDADE_VAZIA*") / COUNTA(tbl_vendas564[ID_Venda]), 0 )</f>
        <v>0.21</v>
      </c>
      <c r="AC21" s="16" t="s">
        <v>184</v>
      </c>
      <c r="AD21">
        <v>42</v>
      </c>
      <c r="AE21" s="21">
        <v>0.21</v>
      </c>
    </row>
    <row r="22" spans="1:34" x14ac:dyDescent="0.25">
      <c r="A22">
        <f t="shared" si="4"/>
        <v>20</v>
      </c>
      <c r="B22">
        <v>19</v>
      </c>
      <c r="C22" t="str">
        <f t="shared" si="0"/>
        <v>INCOMPLETA</v>
      </c>
      <c r="D22" t="str">
        <f t="shared" si="1"/>
        <v>ERRO</v>
      </c>
      <c r="E22" t="str">
        <f t="shared" si="2"/>
        <v>QUANTIDADE_VAZIA; CLIENTE_VAZIA</v>
      </c>
      <c r="F22" cm="1">
        <f t="array" ref="F22">IF(ISERR(FIND("PRECO_VAZIA", INDEX(tbl_vendas564[Tipo_Erro], ROW()-ROW(tbl_vendas564[#Headers])))), 0, 1)</f>
        <v>0</v>
      </c>
      <c r="G22" cm="1">
        <f t="array" ref="G22">IF(ISERR(FIND("PRODUTO_VAZIA", INDEX(tbl_vendas564[Tipo_Erro], ROW()-ROW(tbl_vendas564[#Headers])))), 0, 1)</f>
        <v>0</v>
      </c>
      <c r="H22" cm="1">
        <f t="array" ref="H22">IF(ISERR(FIND("CLIENTE_VAZIA", INDEX(tbl_vendas564[Tipo_Erro], ROW()-ROW(tbl_vendas564[#Headers])))), 0, 1)</f>
        <v>1</v>
      </c>
      <c r="I22" cm="1">
        <f t="array" ref="I22">IF(ISERR(FIND("QUANTIDADE_NEGATIVA", INDEX(tbl_vendas564[Tipo_Erro], ROW()-ROW(tbl_vendas564[#Headers])))), 0, 1)</f>
        <v>0</v>
      </c>
      <c r="J22" cm="1">
        <f t="array" ref="J22">IF(ISERR(FIND("QUANTIDADE_VAZIA", INDEX(tbl_vendas564[Tipo_Erro], ROW()-ROW(tbl_vendas564[#Headers])))), 0, 1)</f>
        <v>1</v>
      </c>
      <c r="K22" cm="1">
        <f t="array" ref="K22">IF(ISERR(FIND("CIDADE_VAZIA", INDEX(tbl_vendas564[Tipo_Erro], ROW()-ROW(tbl_vendas564[#Headers])))), 0, 1)</f>
        <v>0</v>
      </c>
      <c r="L22" s="1" t="s">
        <v>42</v>
      </c>
      <c r="N22" t="s">
        <v>31</v>
      </c>
      <c r="P22" s="2" t="s">
        <v>35</v>
      </c>
      <c r="Q22" s="3" t="str">
        <f t="shared" si="3"/>
        <v>R$ 30</v>
      </c>
      <c r="R22" t="s">
        <v>21</v>
      </c>
    </row>
    <row r="23" spans="1:34" x14ac:dyDescent="0.25">
      <c r="A23">
        <f t="shared" si="4"/>
        <v>21</v>
      </c>
      <c r="B23">
        <v>19</v>
      </c>
      <c r="C23" t="str">
        <f t="shared" si="0"/>
        <v>INCOMPLETA</v>
      </c>
      <c r="D23" t="str">
        <f t="shared" si="1"/>
        <v>ERRO</v>
      </c>
      <c r="E23" t="str">
        <f t="shared" si="2"/>
        <v>PRECO_VAZIA; PRODUTO_VAZIA</v>
      </c>
      <c r="F23" cm="1">
        <f t="array" ref="F23">IF(ISERR(FIND("PRECO_VAZIA", INDEX(tbl_vendas564[Tipo_Erro], ROW()-ROW(tbl_vendas564[#Headers])))), 0, 1)</f>
        <v>1</v>
      </c>
      <c r="G23" cm="1">
        <f t="array" ref="G23">IF(ISERR(FIND("PRODUTO_VAZIA", INDEX(tbl_vendas564[Tipo_Erro], ROW()-ROW(tbl_vendas564[#Headers])))), 0, 1)</f>
        <v>1</v>
      </c>
      <c r="H23" cm="1">
        <f t="array" ref="H23">IF(ISERR(FIND("CLIENTE_VAZIA", INDEX(tbl_vendas564[Tipo_Erro], ROW()-ROW(tbl_vendas564[#Headers])))), 0, 1)</f>
        <v>0</v>
      </c>
      <c r="I23" cm="1">
        <f t="array" ref="I23">IF(ISERR(FIND("QUANTIDADE_NEGATIVA", INDEX(tbl_vendas564[Tipo_Erro], ROW()-ROW(tbl_vendas564[#Headers])))), 0, 1)</f>
        <v>0</v>
      </c>
      <c r="J23" cm="1">
        <f t="array" ref="J23">IF(ISERR(FIND("QUANTIDADE_VAZIA", INDEX(tbl_vendas564[Tipo_Erro], ROW()-ROW(tbl_vendas564[#Headers])))), 0, 1)</f>
        <v>0</v>
      </c>
      <c r="K23" cm="1">
        <f t="array" ref="K23">IF(ISERR(FIND("CIDADE_VAZIA", INDEX(tbl_vendas564[Tipo_Erro], ROW()-ROW(tbl_vendas564[#Headers])))), 0, 1)</f>
        <v>0</v>
      </c>
      <c r="L23" s="1" t="s">
        <v>63</v>
      </c>
      <c r="M23" t="s">
        <v>26</v>
      </c>
      <c r="O23">
        <v>10</v>
      </c>
      <c r="P23" s="2"/>
      <c r="Q23" s="3" t="str">
        <f t="shared" si="3"/>
        <v/>
      </c>
      <c r="R23" t="s">
        <v>49</v>
      </c>
    </row>
    <row r="24" spans="1:34" x14ac:dyDescent="0.25">
      <c r="A24">
        <f t="shared" si="4"/>
        <v>22</v>
      </c>
      <c r="B24">
        <v>20</v>
      </c>
      <c r="C24" t="str">
        <f t="shared" si="0"/>
        <v>INCOMPLETA</v>
      </c>
      <c r="D24" t="str">
        <f t="shared" si="1"/>
        <v>ERRO</v>
      </c>
      <c r="E24" t="str">
        <f t="shared" si="2"/>
        <v>QUANTIDADE_VAZIA; CLIENTE_VAZIA</v>
      </c>
      <c r="F24" cm="1">
        <f t="array" ref="F24">IF(ISERR(FIND("PRECO_VAZIA", INDEX(tbl_vendas564[Tipo_Erro], ROW()-ROW(tbl_vendas564[#Headers])))), 0, 1)</f>
        <v>0</v>
      </c>
      <c r="G24" cm="1">
        <f t="array" ref="G24">IF(ISERR(FIND("PRODUTO_VAZIA", INDEX(tbl_vendas564[Tipo_Erro], ROW()-ROW(tbl_vendas564[#Headers])))), 0, 1)</f>
        <v>0</v>
      </c>
      <c r="H24" cm="1">
        <f t="array" ref="H24">IF(ISERR(FIND("CLIENTE_VAZIA", INDEX(tbl_vendas564[Tipo_Erro], ROW()-ROW(tbl_vendas564[#Headers])))), 0, 1)</f>
        <v>1</v>
      </c>
      <c r="I24" cm="1">
        <f t="array" ref="I24">IF(ISERR(FIND("QUANTIDADE_NEGATIVA", INDEX(tbl_vendas564[Tipo_Erro], ROW()-ROW(tbl_vendas564[#Headers])))), 0, 1)</f>
        <v>0</v>
      </c>
      <c r="J24" cm="1">
        <f t="array" ref="J24">IF(ISERR(FIND("QUANTIDADE_VAZIA", INDEX(tbl_vendas564[Tipo_Erro], ROW()-ROW(tbl_vendas564[#Headers])))), 0, 1)</f>
        <v>1</v>
      </c>
      <c r="K24" cm="1">
        <f t="array" ref="K24">IF(ISERR(FIND("CIDADE_VAZIA", INDEX(tbl_vendas564[Tipo_Erro], ROW()-ROW(tbl_vendas564[#Headers])))), 0, 1)</f>
        <v>0</v>
      </c>
      <c r="L24" t="s">
        <v>43</v>
      </c>
      <c r="N24" t="s">
        <v>9</v>
      </c>
      <c r="O24">
        <v>1</v>
      </c>
      <c r="P24">
        <v>356.84</v>
      </c>
      <c r="Q24" s="3">
        <f t="shared" si="3"/>
        <v>356.84</v>
      </c>
      <c r="R24" t="s">
        <v>13</v>
      </c>
    </row>
    <row r="25" spans="1:34" x14ac:dyDescent="0.25">
      <c r="A25">
        <f t="shared" si="4"/>
        <v>23</v>
      </c>
      <c r="B25">
        <v>22</v>
      </c>
      <c r="C25" t="str">
        <f t="shared" si="0"/>
        <v>INCOMPLETA</v>
      </c>
      <c r="D25" t="str">
        <f t="shared" si="1"/>
        <v>ERRO</v>
      </c>
      <c r="E25" t="str">
        <f t="shared" si="2"/>
        <v>QUANTIDADE_VAZIA; QUANTIDADE_NEGATIVA; PRECO_VAZIA; CLIENTE_VAZIA</v>
      </c>
      <c r="F25" cm="1">
        <f t="array" ref="F25">IF(ISERR(FIND("PRECO_VAZIA", INDEX(tbl_vendas564[Tipo_Erro], ROW()-ROW(tbl_vendas564[#Headers])))), 0, 1)</f>
        <v>1</v>
      </c>
      <c r="G25" cm="1">
        <f t="array" ref="G25">IF(ISERR(FIND("PRODUTO_VAZIA", INDEX(tbl_vendas564[Tipo_Erro], ROW()-ROW(tbl_vendas564[#Headers])))), 0, 1)</f>
        <v>0</v>
      </c>
      <c r="H25" cm="1">
        <f t="array" ref="H25">IF(ISERR(FIND("CLIENTE_VAZIA", INDEX(tbl_vendas564[Tipo_Erro], ROW()-ROW(tbl_vendas564[#Headers])))), 0, 1)</f>
        <v>1</v>
      </c>
      <c r="I25" cm="1">
        <f t="array" ref="I25">IF(ISERR(FIND("QUANTIDADE_NEGATIVA", INDEX(tbl_vendas564[Tipo_Erro], ROW()-ROW(tbl_vendas564[#Headers])))), 0, 1)</f>
        <v>1</v>
      </c>
      <c r="J25" cm="1">
        <f t="array" ref="J25">IF(ISERR(FIND("QUANTIDADE_VAZIA", INDEX(tbl_vendas564[Tipo_Erro], ROW()-ROW(tbl_vendas564[#Headers])))), 0, 1)</f>
        <v>1</v>
      </c>
      <c r="K25" cm="1">
        <f t="array" ref="K25">IF(ISERR(FIND("CIDADE_VAZIA", INDEX(tbl_vendas564[Tipo_Erro], ROW()-ROW(tbl_vendas564[#Headers])))), 0, 1)</f>
        <v>0</v>
      </c>
      <c r="L25" s="1" t="s">
        <v>45</v>
      </c>
      <c r="N25" t="s">
        <v>31</v>
      </c>
      <c r="O25">
        <v>-3</v>
      </c>
      <c r="P25" s="2"/>
      <c r="Q25" s="3" t="str">
        <f t="shared" si="3"/>
        <v/>
      </c>
      <c r="R25" t="s">
        <v>21</v>
      </c>
      <c r="AG25" s="23"/>
      <c r="AH25" s="18"/>
    </row>
    <row r="26" spans="1:34" x14ac:dyDescent="0.25">
      <c r="A26">
        <f t="shared" si="4"/>
        <v>24</v>
      </c>
      <c r="B26">
        <v>24</v>
      </c>
      <c r="C26" t="str">
        <f t="shared" si="0"/>
        <v>INCOMPLETA</v>
      </c>
      <c r="D26" t="str">
        <f t="shared" si="1"/>
        <v>ERRO</v>
      </c>
      <c r="E26" t="str">
        <f t="shared" si="2"/>
        <v>PRECO_VAZIA</v>
      </c>
      <c r="F26" cm="1">
        <f t="array" ref="F26">IF(ISERR(FIND("PRECO_VAZIA", INDEX(tbl_vendas564[Tipo_Erro], ROW()-ROW(tbl_vendas564[#Headers])))), 0, 1)</f>
        <v>1</v>
      </c>
      <c r="G26" cm="1">
        <f t="array" ref="G26">IF(ISERR(FIND("PRODUTO_VAZIA", INDEX(tbl_vendas564[Tipo_Erro], ROW()-ROW(tbl_vendas564[#Headers])))), 0, 1)</f>
        <v>0</v>
      </c>
      <c r="H26" cm="1">
        <f t="array" ref="H26">IF(ISERR(FIND("CLIENTE_VAZIA", INDEX(tbl_vendas564[Tipo_Erro], ROW()-ROW(tbl_vendas564[#Headers])))), 0, 1)</f>
        <v>0</v>
      </c>
      <c r="I26" cm="1">
        <f t="array" ref="I26">IF(ISERR(FIND("QUANTIDADE_NEGATIVA", INDEX(tbl_vendas564[Tipo_Erro], ROW()-ROW(tbl_vendas564[#Headers])))), 0, 1)</f>
        <v>0</v>
      </c>
      <c r="J26" cm="1">
        <f t="array" ref="J26">IF(ISERR(FIND("QUANTIDADE_VAZIA", INDEX(tbl_vendas564[Tipo_Erro], ROW()-ROW(tbl_vendas564[#Headers])))), 0, 1)</f>
        <v>0</v>
      </c>
      <c r="K26" cm="1">
        <f t="array" ref="K26">IF(ISERR(FIND("CIDADE_VAZIA", INDEX(tbl_vendas564[Tipo_Erro], ROW()-ROW(tbl_vendas564[#Headers])))), 0, 1)</f>
        <v>0</v>
      </c>
      <c r="L26" s="1" t="s">
        <v>48</v>
      </c>
      <c r="M26" t="s">
        <v>12</v>
      </c>
      <c r="N26" t="s">
        <v>9</v>
      </c>
      <c r="P26" s="2"/>
      <c r="Q26" s="3" t="str">
        <f t="shared" si="3"/>
        <v/>
      </c>
      <c r="R26" t="s">
        <v>49</v>
      </c>
      <c r="AG26" s="23"/>
      <c r="AH26" s="18"/>
    </row>
    <row r="27" spans="1:34" x14ac:dyDescent="0.25">
      <c r="A27">
        <f t="shared" si="4"/>
        <v>25</v>
      </c>
      <c r="B27">
        <v>25</v>
      </c>
      <c r="C27" t="str">
        <f t="shared" si="0"/>
        <v>COMPLETA</v>
      </c>
      <c r="D27" t="str">
        <f t="shared" si="1"/>
        <v>OK</v>
      </c>
      <c r="E27" t="str">
        <f t="shared" si="2"/>
        <v/>
      </c>
      <c r="F27" cm="1">
        <f t="array" ref="F27">IF(ISERR(FIND("PRECO_VAZIA", INDEX(tbl_vendas564[Tipo_Erro], ROW()-ROW(tbl_vendas564[#Headers])))), 0, 1)</f>
        <v>0</v>
      </c>
      <c r="G27" cm="1">
        <f t="array" ref="G27">IF(ISERR(FIND("PRODUTO_VAZIA", INDEX(tbl_vendas564[Tipo_Erro], ROW()-ROW(tbl_vendas564[#Headers])))), 0, 1)</f>
        <v>0</v>
      </c>
      <c r="H27" cm="1">
        <f t="array" ref="H27">IF(ISERR(FIND("CLIENTE_VAZIA", INDEX(tbl_vendas564[Tipo_Erro], ROW()-ROW(tbl_vendas564[#Headers])))), 0, 1)</f>
        <v>0</v>
      </c>
      <c r="I27" cm="1">
        <f t="array" ref="I27">IF(ISERR(FIND("QUANTIDADE_NEGATIVA", INDEX(tbl_vendas564[Tipo_Erro], ROW()-ROW(tbl_vendas564[#Headers])))), 0, 1)</f>
        <v>0</v>
      </c>
      <c r="J27" cm="1">
        <f t="array" ref="J27">IF(ISERR(FIND("QUANTIDADE_VAZIA", INDEX(tbl_vendas564[Tipo_Erro], ROW()-ROW(tbl_vendas564[#Headers])))), 0, 1)</f>
        <v>0</v>
      </c>
      <c r="K27" cm="1">
        <f t="array" ref="K27">IF(ISERR(FIND("CIDADE_VAZIA", INDEX(tbl_vendas564[Tipo_Erro], ROW()-ROW(tbl_vendas564[#Headers])))), 0, 1)</f>
        <v>0</v>
      </c>
      <c r="L27" t="s">
        <v>50</v>
      </c>
      <c r="M27" t="s">
        <v>26</v>
      </c>
      <c r="N27" t="s">
        <v>23</v>
      </c>
      <c r="O27">
        <v>15</v>
      </c>
      <c r="P27">
        <v>34.79</v>
      </c>
      <c r="Q27" s="3">
        <f t="shared" si="3"/>
        <v>34.79</v>
      </c>
      <c r="R27" t="s">
        <v>21</v>
      </c>
      <c r="AG27" s="23"/>
      <c r="AH27" s="18"/>
    </row>
    <row r="28" spans="1:34" x14ac:dyDescent="0.25">
      <c r="A28">
        <f t="shared" si="4"/>
        <v>26</v>
      </c>
      <c r="B28">
        <v>26</v>
      </c>
      <c r="C28" t="str">
        <f t="shared" si="0"/>
        <v>INCOMPLETA</v>
      </c>
      <c r="D28" t="str">
        <f t="shared" si="1"/>
        <v>ERRO</v>
      </c>
      <c r="E28" t="str">
        <f t="shared" si="2"/>
        <v>QUANTIDADE_NEGATIVA; PRECO_VAZIA</v>
      </c>
      <c r="F28" cm="1">
        <f t="array" ref="F28">IF(ISERR(FIND("PRECO_VAZIA", INDEX(tbl_vendas564[Tipo_Erro], ROW()-ROW(tbl_vendas564[#Headers])))), 0, 1)</f>
        <v>1</v>
      </c>
      <c r="G28" cm="1">
        <f t="array" ref="G28">IF(ISERR(FIND("PRODUTO_VAZIA", INDEX(tbl_vendas564[Tipo_Erro], ROW()-ROW(tbl_vendas564[#Headers])))), 0, 1)</f>
        <v>0</v>
      </c>
      <c r="H28" cm="1">
        <f t="array" ref="H28">IF(ISERR(FIND("CLIENTE_VAZIA", INDEX(tbl_vendas564[Tipo_Erro], ROW()-ROW(tbl_vendas564[#Headers])))), 0, 1)</f>
        <v>0</v>
      </c>
      <c r="I28" cm="1">
        <f t="array" ref="I28">IF(ISERR(FIND("QUANTIDADE_NEGATIVA", INDEX(tbl_vendas564[Tipo_Erro], ROW()-ROW(tbl_vendas564[#Headers])))), 0, 1)</f>
        <v>1</v>
      </c>
      <c r="J28" cm="1">
        <f t="array" ref="J28">IF(ISERR(FIND("QUANTIDADE_VAZIA", INDEX(tbl_vendas564[Tipo_Erro], ROW()-ROW(tbl_vendas564[#Headers])))), 0, 1)</f>
        <v>0</v>
      </c>
      <c r="K28" cm="1">
        <f t="array" ref="K28">IF(ISERR(FIND("CIDADE_VAZIA", INDEX(tbl_vendas564[Tipo_Erro], ROW()-ROW(tbl_vendas564[#Headers])))), 0, 1)</f>
        <v>0</v>
      </c>
      <c r="L28" s="1" t="s">
        <v>51</v>
      </c>
      <c r="M28" t="s">
        <v>26</v>
      </c>
      <c r="N28" t="s">
        <v>47</v>
      </c>
      <c r="O28">
        <v>-3</v>
      </c>
      <c r="P28" s="2">
        <v>-10</v>
      </c>
      <c r="Q28" s="3" t="str">
        <f t="shared" si="3"/>
        <v/>
      </c>
      <c r="R28" t="s">
        <v>21</v>
      </c>
      <c r="AG28" s="23"/>
      <c r="AH28" s="18"/>
    </row>
    <row r="29" spans="1:34" x14ac:dyDescent="0.25">
      <c r="A29">
        <f t="shared" si="4"/>
        <v>27</v>
      </c>
      <c r="B29">
        <v>27</v>
      </c>
      <c r="C29" t="str">
        <f t="shared" si="0"/>
        <v>INCOMPLETA</v>
      </c>
      <c r="D29" t="str">
        <f t="shared" si="1"/>
        <v>ERRO</v>
      </c>
      <c r="E29" t="str">
        <f t="shared" si="2"/>
        <v>PRECO_VAZIA</v>
      </c>
      <c r="F29" cm="1">
        <f t="array" ref="F29">IF(ISERR(FIND("PRECO_VAZIA", INDEX(tbl_vendas564[Tipo_Erro], ROW()-ROW(tbl_vendas564[#Headers])))), 0, 1)</f>
        <v>1</v>
      </c>
      <c r="G29" cm="1">
        <f t="array" ref="G29">IF(ISERR(FIND("PRODUTO_VAZIA", INDEX(tbl_vendas564[Tipo_Erro], ROW()-ROW(tbl_vendas564[#Headers])))), 0, 1)</f>
        <v>0</v>
      </c>
      <c r="H29" cm="1">
        <f t="array" ref="H29">IF(ISERR(FIND("CLIENTE_VAZIA", INDEX(tbl_vendas564[Tipo_Erro], ROW()-ROW(tbl_vendas564[#Headers])))), 0, 1)</f>
        <v>0</v>
      </c>
      <c r="I29" cm="1">
        <f t="array" ref="I29">IF(ISERR(FIND("QUANTIDADE_NEGATIVA", INDEX(tbl_vendas564[Tipo_Erro], ROW()-ROW(tbl_vendas564[#Headers])))), 0, 1)</f>
        <v>0</v>
      </c>
      <c r="J29" cm="1">
        <f t="array" ref="J29">IF(ISERR(FIND("QUANTIDADE_VAZIA", INDEX(tbl_vendas564[Tipo_Erro], ROW()-ROW(tbl_vendas564[#Headers])))), 0, 1)</f>
        <v>0</v>
      </c>
      <c r="K29" cm="1">
        <f t="array" ref="K29">IF(ISERR(FIND("CIDADE_VAZIA", INDEX(tbl_vendas564[Tipo_Erro], ROW()-ROW(tbl_vendas564[#Headers])))), 0, 1)</f>
        <v>0</v>
      </c>
      <c r="L29" s="1" t="s">
        <v>52</v>
      </c>
      <c r="M29" t="s">
        <v>33</v>
      </c>
      <c r="N29" t="s">
        <v>53</v>
      </c>
      <c r="O29">
        <v>10</v>
      </c>
      <c r="P29" s="2">
        <v>-10</v>
      </c>
      <c r="Q29" s="3" t="str">
        <f t="shared" si="3"/>
        <v/>
      </c>
      <c r="R29" t="s">
        <v>13</v>
      </c>
      <c r="AG29" s="23"/>
      <c r="AH29" s="18"/>
    </row>
    <row r="30" spans="1:34" x14ac:dyDescent="0.25">
      <c r="A30">
        <f t="shared" si="4"/>
        <v>28</v>
      </c>
      <c r="B30">
        <v>28</v>
      </c>
      <c r="C30" t="str">
        <f t="shared" si="0"/>
        <v>INCOMPLETA</v>
      </c>
      <c r="D30" t="str">
        <f t="shared" si="1"/>
        <v>ERRO</v>
      </c>
      <c r="E30" t="str">
        <f t="shared" si="2"/>
        <v>PRECO_VAZIA; PRODUTO_VAZIA</v>
      </c>
      <c r="F30" cm="1">
        <f t="array" ref="F30">IF(ISERR(FIND("PRECO_VAZIA", INDEX(tbl_vendas564[Tipo_Erro], ROW()-ROW(tbl_vendas564[#Headers])))), 0, 1)</f>
        <v>1</v>
      </c>
      <c r="G30" cm="1">
        <f t="array" ref="G30">IF(ISERR(FIND("PRODUTO_VAZIA", INDEX(tbl_vendas564[Tipo_Erro], ROW()-ROW(tbl_vendas564[#Headers])))), 0, 1)</f>
        <v>1</v>
      </c>
      <c r="H30" cm="1">
        <f t="array" ref="H30">IF(ISERR(FIND("CLIENTE_VAZIA", INDEX(tbl_vendas564[Tipo_Erro], ROW()-ROW(tbl_vendas564[#Headers])))), 0, 1)</f>
        <v>0</v>
      </c>
      <c r="I30" cm="1">
        <f t="array" ref="I30">IF(ISERR(FIND("QUANTIDADE_NEGATIVA", INDEX(tbl_vendas564[Tipo_Erro], ROW()-ROW(tbl_vendas564[#Headers])))), 0, 1)</f>
        <v>0</v>
      </c>
      <c r="J30" cm="1">
        <f t="array" ref="J30">IF(ISERR(FIND("QUANTIDADE_VAZIA", INDEX(tbl_vendas564[Tipo_Erro], ROW()-ROW(tbl_vendas564[#Headers])))), 0, 1)</f>
        <v>0</v>
      </c>
      <c r="K30" cm="1">
        <f t="array" ref="K30">IF(ISERR(FIND("CIDADE_VAZIA", INDEX(tbl_vendas564[Tipo_Erro], ROW()-ROW(tbl_vendas564[#Headers])))), 0, 1)</f>
        <v>0</v>
      </c>
      <c r="L30" s="1" t="s">
        <v>54</v>
      </c>
      <c r="M30" t="s">
        <v>12</v>
      </c>
      <c r="O30">
        <v>10</v>
      </c>
      <c r="P30" s="2">
        <v>-10</v>
      </c>
      <c r="Q30" s="3" t="str">
        <f t="shared" si="3"/>
        <v/>
      </c>
      <c r="R30" t="s">
        <v>10</v>
      </c>
      <c r="AH30" s="18"/>
    </row>
    <row r="31" spans="1:34" x14ac:dyDescent="0.25">
      <c r="A31">
        <f t="shared" si="4"/>
        <v>29</v>
      </c>
      <c r="B31">
        <v>29</v>
      </c>
      <c r="C31" t="str">
        <f t="shared" si="0"/>
        <v>COMPLETA</v>
      </c>
      <c r="D31" t="str">
        <f t="shared" si="1"/>
        <v>OK</v>
      </c>
      <c r="E31" t="str">
        <f t="shared" si="2"/>
        <v/>
      </c>
      <c r="F31" cm="1">
        <f t="array" ref="F31">IF(ISERR(FIND("PRECO_VAZIA", INDEX(tbl_vendas564[Tipo_Erro], ROW()-ROW(tbl_vendas564[#Headers])))), 0, 1)</f>
        <v>0</v>
      </c>
      <c r="G31" cm="1">
        <f t="array" ref="G31">IF(ISERR(FIND("PRODUTO_VAZIA", INDEX(tbl_vendas564[Tipo_Erro], ROW()-ROW(tbl_vendas564[#Headers])))), 0, 1)</f>
        <v>0</v>
      </c>
      <c r="H31" cm="1">
        <f t="array" ref="H31">IF(ISERR(FIND("CLIENTE_VAZIA", INDEX(tbl_vendas564[Tipo_Erro], ROW()-ROW(tbl_vendas564[#Headers])))), 0, 1)</f>
        <v>0</v>
      </c>
      <c r="I31" cm="1">
        <f t="array" ref="I31">IF(ISERR(FIND("QUANTIDADE_NEGATIVA", INDEX(tbl_vendas564[Tipo_Erro], ROW()-ROW(tbl_vendas564[#Headers])))), 0, 1)</f>
        <v>0</v>
      </c>
      <c r="J31" cm="1">
        <f t="array" ref="J31">IF(ISERR(FIND("QUANTIDADE_VAZIA", INDEX(tbl_vendas564[Tipo_Erro], ROW()-ROW(tbl_vendas564[#Headers])))), 0, 1)</f>
        <v>0</v>
      </c>
      <c r="K31" cm="1">
        <f t="array" ref="K31">IF(ISERR(FIND("CIDADE_VAZIA", INDEX(tbl_vendas564[Tipo_Erro], ROW()-ROW(tbl_vendas564[#Headers])))), 0, 1)</f>
        <v>0</v>
      </c>
      <c r="L31" t="s">
        <v>55</v>
      </c>
      <c r="M31" t="s">
        <v>26</v>
      </c>
      <c r="N31" t="s">
        <v>37</v>
      </c>
      <c r="O31">
        <v>17</v>
      </c>
      <c r="P31">
        <v>427.16</v>
      </c>
      <c r="Q31" s="3">
        <f t="shared" si="3"/>
        <v>427.16</v>
      </c>
      <c r="R31" t="s">
        <v>10</v>
      </c>
    </row>
    <row r="32" spans="1:34" x14ac:dyDescent="0.25">
      <c r="A32">
        <f t="shared" si="4"/>
        <v>30</v>
      </c>
      <c r="B32">
        <v>31</v>
      </c>
      <c r="C32" t="str">
        <f t="shared" si="0"/>
        <v>INCOMPLETA</v>
      </c>
      <c r="D32" t="str">
        <f t="shared" si="1"/>
        <v>ERRO</v>
      </c>
      <c r="E32" t="str">
        <f t="shared" si="2"/>
        <v>PRECO_VAZIA</v>
      </c>
      <c r="F32" cm="1">
        <f t="array" ref="F32">IF(ISERR(FIND("PRECO_VAZIA", INDEX(tbl_vendas564[Tipo_Erro], ROW()-ROW(tbl_vendas564[#Headers])))), 0, 1)</f>
        <v>1</v>
      </c>
      <c r="G32" cm="1">
        <f t="array" ref="G32">IF(ISERR(FIND("PRODUTO_VAZIA", INDEX(tbl_vendas564[Tipo_Erro], ROW()-ROW(tbl_vendas564[#Headers])))), 0, 1)</f>
        <v>0</v>
      </c>
      <c r="H32" cm="1">
        <f t="array" ref="H32">IF(ISERR(FIND("CLIENTE_VAZIA", INDEX(tbl_vendas564[Tipo_Erro], ROW()-ROW(tbl_vendas564[#Headers])))), 0, 1)</f>
        <v>0</v>
      </c>
      <c r="I32" cm="1">
        <f t="array" ref="I32">IF(ISERR(FIND("QUANTIDADE_NEGATIVA", INDEX(tbl_vendas564[Tipo_Erro], ROW()-ROW(tbl_vendas564[#Headers])))), 0, 1)</f>
        <v>0</v>
      </c>
      <c r="J32" cm="1">
        <f t="array" ref="J32">IF(ISERR(FIND("QUANTIDADE_VAZIA", INDEX(tbl_vendas564[Tipo_Erro], ROW()-ROW(tbl_vendas564[#Headers])))), 0, 1)</f>
        <v>0</v>
      </c>
      <c r="K32" cm="1">
        <f t="array" ref="K32">IF(ISERR(FIND("CIDADE_VAZIA", INDEX(tbl_vendas564[Tipo_Erro], ROW()-ROW(tbl_vendas564[#Headers])))), 0, 1)</f>
        <v>0</v>
      </c>
      <c r="L32" s="1" t="s">
        <v>57</v>
      </c>
      <c r="M32" t="s">
        <v>8</v>
      </c>
      <c r="N32" t="s">
        <v>53</v>
      </c>
      <c r="O32">
        <v>10</v>
      </c>
      <c r="P32" s="2">
        <v>-10</v>
      </c>
      <c r="Q32" s="3" t="str">
        <f t="shared" si="3"/>
        <v/>
      </c>
      <c r="R32" t="s">
        <v>13</v>
      </c>
    </row>
    <row r="33" spans="1:22" x14ac:dyDescent="0.25">
      <c r="A33">
        <f t="shared" si="4"/>
        <v>31</v>
      </c>
      <c r="B33">
        <v>32</v>
      </c>
      <c r="C33" t="str">
        <f t="shared" si="0"/>
        <v>COMPLETA</v>
      </c>
      <c r="D33" t="str">
        <f t="shared" si="1"/>
        <v>OK</v>
      </c>
      <c r="E33" t="str">
        <f t="shared" si="2"/>
        <v/>
      </c>
      <c r="F33" cm="1">
        <f t="array" ref="F33">IF(ISERR(FIND("PRECO_VAZIA", INDEX(tbl_vendas564[Tipo_Erro], ROW()-ROW(tbl_vendas564[#Headers])))), 0, 1)</f>
        <v>0</v>
      </c>
      <c r="G33" cm="1">
        <f t="array" ref="G33">IF(ISERR(FIND("PRODUTO_VAZIA", INDEX(tbl_vendas564[Tipo_Erro], ROW()-ROW(tbl_vendas564[#Headers])))), 0, 1)</f>
        <v>0</v>
      </c>
      <c r="H33" cm="1">
        <f t="array" ref="H33">IF(ISERR(FIND("CLIENTE_VAZIA", INDEX(tbl_vendas564[Tipo_Erro], ROW()-ROW(tbl_vendas564[#Headers])))), 0, 1)</f>
        <v>0</v>
      </c>
      <c r="I33" cm="1">
        <f t="array" ref="I33">IF(ISERR(FIND("QUANTIDADE_NEGATIVA", INDEX(tbl_vendas564[Tipo_Erro], ROW()-ROW(tbl_vendas564[#Headers])))), 0, 1)</f>
        <v>0</v>
      </c>
      <c r="J33" cm="1">
        <f t="array" ref="J33">IF(ISERR(FIND("QUANTIDADE_VAZIA", INDEX(tbl_vendas564[Tipo_Erro], ROW()-ROW(tbl_vendas564[#Headers])))), 0, 1)</f>
        <v>0</v>
      </c>
      <c r="K33" cm="1">
        <f t="array" ref="K33">IF(ISERR(FIND("CIDADE_VAZIA", INDEX(tbl_vendas564[Tipo_Erro], ROW()-ROW(tbl_vendas564[#Headers])))), 0, 1)</f>
        <v>0</v>
      </c>
      <c r="L33" t="s">
        <v>58</v>
      </c>
      <c r="M33" t="s">
        <v>33</v>
      </c>
      <c r="N33" t="s">
        <v>19</v>
      </c>
      <c r="O33">
        <v>3</v>
      </c>
      <c r="P33">
        <v>234.56</v>
      </c>
      <c r="Q33" s="3">
        <f t="shared" si="3"/>
        <v>234.56</v>
      </c>
      <c r="R33" t="s">
        <v>21</v>
      </c>
    </row>
    <row r="34" spans="1:22" x14ac:dyDescent="0.25">
      <c r="A34">
        <f t="shared" si="4"/>
        <v>32</v>
      </c>
      <c r="B34">
        <v>33</v>
      </c>
      <c r="C34" t="str">
        <f t="shared" ref="C34:C65" si="5">IF(AND(B34&lt;&gt;"",L34&lt;&gt;"",M34&lt;&gt;"",N34&lt;&gt;"",O34&lt;&gt;"",Q34&lt;&gt;"",R34&lt;&gt;""),"COMPLETA","INCOMPLETA")</f>
        <v>COMPLETA</v>
      </c>
      <c r="D34" t="str">
        <f t="shared" ref="D34:D65" si="6">IF(AND(C34="COMPLETA", ISNUMBER(O34), O34&gt;0, ISNUMBER(Q34), Q34&gt;0), "OK", "ERRO")</f>
        <v>ERRO</v>
      </c>
      <c r="E34" t="str">
        <f t="shared" si="2"/>
        <v/>
      </c>
      <c r="F34" cm="1">
        <f t="array" ref="F34">IF(ISERR(FIND("PRECO_VAZIA", INDEX(tbl_vendas564[Tipo_Erro], ROW()-ROW(tbl_vendas564[#Headers])))), 0, 1)</f>
        <v>0</v>
      </c>
      <c r="G34" cm="1">
        <f t="array" ref="G34">IF(ISERR(FIND("PRODUTO_VAZIA", INDEX(tbl_vendas564[Tipo_Erro], ROW()-ROW(tbl_vendas564[#Headers])))), 0, 1)</f>
        <v>0</v>
      </c>
      <c r="H34" cm="1">
        <f t="array" ref="H34">IF(ISERR(FIND("CLIENTE_VAZIA", INDEX(tbl_vendas564[Tipo_Erro], ROW()-ROW(tbl_vendas564[#Headers])))), 0, 1)</f>
        <v>0</v>
      </c>
      <c r="I34" cm="1">
        <f t="array" ref="I34">IF(ISERR(FIND("QUANTIDADE_NEGATIVA", INDEX(tbl_vendas564[Tipo_Erro], ROW()-ROW(tbl_vendas564[#Headers])))), 0, 1)</f>
        <v>0</v>
      </c>
      <c r="J34" cm="1">
        <f t="array" ref="J34">IF(ISERR(FIND("QUANTIDADE_VAZIA", INDEX(tbl_vendas564[Tipo_Erro], ROW()-ROW(tbl_vendas564[#Headers])))), 0, 1)</f>
        <v>0</v>
      </c>
      <c r="K34" cm="1">
        <f t="array" ref="K34">IF(ISERR(FIND("CIDADE_VAZIA", INDEX(tbl_vendas564[Tipo_Erro], ROW()-ROW(tbl_vendas564[#Headers])))), 0, 1)</f>
        <v>0</v>
      </c>
      <c r="L34" s="1" t="s">
        <v>59</v>
      </c>
      <c r="M34" t="s">
        <v>8</v>
      </c>
      <c r="N34" t="s">
        <v>15</v>
      </c>
      <c r="O34">
        <v>12</v>
      </c>
      <c r="P34" s="2" t="s">
        <v>35</v>
      </c>
      <c r="Q34" s="3" t="str">
        <f t="shared" si="3"/>
        <v>R$ 30</v>
      </c>
      <c r="R34" t="s">
        <v>17</v>
      </c>
    </row>
    <row r="35" spans="1:22" x14ac:dyDescent="0.25">
      <c r="A35">
        <f t="shared" si="4"/>
        <v>33</v>
      </c>
      <c r="B35">
        <v>34</v>
      </c>
      <c r="C35" t="str">
        <f t="shared" si="5"/>
        <v>INCOMPLETA</v>
      </c>
      <c r="D35" t="str">
        <f t="shared" si="6"/>
        <v>ERRO</v>
      </c>
      <c r="E35" t="str">
        <f t="shared" si="2"/>
        <v>PRODUTO_VAZIA</v>
      </c>
      <c r="F35" cm="1">
        <f t="array" ref="F35">IF(ISERR(FIND("PRECO_VAZIA", INDEX(tbl_vendas564[Tipo_Erro], ROW()-ROW(tbl_vendas564[#Headers])))), 0, 1)</f>
        <v>0</v>
      </c>
      <c r="G35" cm="1">
        <f t="array" ref="G35">IF(ISERR(FIND("PRODUTO_VAZIA", INDEX(tbl_vendas564[Tipo_Erro], ROW()-ROW(tbl_vendas564[#Headers])))), 0, 1)</f>
        <v>1</v>
      </c>
      <c r="H35" cm="1">
        <f t="array" ref="H35">IF(ISERR(FIND("CLIENTE_VAZIA", INDEX(tbl_vendas564[Tipo_Erro], ROW()-ROW(tbl_vendas564[#Headers])))), 0, 1)</f>
        <v>0</v>
      </c>
      <c r="I35" cm="1">
        <f t="array" ref="I35">IF(ISERR(FIND("QUANTIDADE_NEGATIVA", INDEX(tbl_vendas564[Tipo_Erro], ROW()-ROW(tbl_vendas564[#Headers])))), 0, 1)</f>
        <v>0</v>
      </c>
      <c r="J35" cm="1">
        <f t="array" ref="J35">IF(ISERR(FIND("QUANTIDADE_VAZIA", INDEX(tbl_vendas564[Tipo_Erro], ROW()-ROW(tbl_vendas564[#Headers])))), 0, 1)</f>
        <v>0</v>
      </c>
      <c r="K35" cm="1">
        <f t="array" ref="K35">IF(ISERR(FIND("CIDADE_VAZIA", INDEX(tbl_vendas564[Tipo_Erro], ROW()-ROW(tbl_vendas564[#Headers])))), 0, 1)</f>
        <v>0</v>
      </c>
      <c r="L35" s="1" t="s">
        <v>60</v>
      </c>
      <c r="M35" t="s">
        <v>8</v>
      </c>
      <c r="O35">
        <v>10</v>
      </c>
      <c r="P35" s="2">
        <v>466.56</v>
      </c>
      <c r="Q35" s="3">
        <f t="shared" si="3"/>
        <v>466.56</v>
      </c>
      <c r="R35" t="s">
        <v>13</v>
      </c>
    </row>
    <row r="36" spans="1:22" x14ac:dyDescent="0.25">
      <c r="A36">
        <f t="shared" si="4"/>
        <v>34</v>
      </c>
      <c r="B36">
        <v>35</v>
      </c>
      <c r="C36" t="str">
        <f t="shared" si="5"/>
        <v>INCOMPLETA</v>
      </c>
      <c r="D36" t="str">
        <f t="shared" si="6"/>
        <v>ERRO</v>
      </c>
      <c r="E36" t="str">
        <f t="shared" si="2"/>
        <v>QUANTIDADE_VAZIA; CLIENTE_VAZIA</v>
      </c>
      <c r="F36" cm="1">
        <f t="array" ref="F36">IF(ISERR(FIND("PRECO_VAZIA", INDEX(tbl_vendas564[Tipo_Erro], ROW()-ROW(tbl_vendas564[#Headers])))), 0, 1)</f>
        <v>0</v>
      </c>
      <c r="G36" cm="1">
        <f t="array" ref="G36">IF(ISERR(FIND("PRODUTO_VAZIA", INDEX(tbl_vendas564[Tipo_Erro], ROW()-ROW(tbl_vendas564[#Headers])))), 0, 1)</f>
        <v>0</v>
      </c>
      <c r="H36" cm="1">
        <f t="array" ref="H36">IF(ISERR(FIND("CLIENTE_VAZIA", INDEX(tbl_vendas564[Tipo_Erro], ROW()-ROW(tbl_vendas564[#Headers])))), 0, 1)</f>
        <v>1</v>
      </c>
      <c r="I36" cm="1">
        <f t="array" ref="I36">IF(ISERR(FIND("QUANTIDADE_NEGATIVA", INDEX(tbl_vendas564[Tipo_Erro], ROW()-ROW(tbl_vendas564[#Headers])))), 0, 1)</f>
        <v>0</v>
      </c>
      <c r="J36" cm="1">
        <f t="array" ref="J36">IF(ISERR(FIND("QUANTIDADE_VAZIA", INDEX(tbl_vendas564[Tipo_Erro], ROW()-ROW(tbl_vendas564[#Headers])))), 0, 1)</f>
        <v>1</v>
      </c>
      <c r="K36" cm="1">
        <f t="array" ref="K36">IF(ISERR(FIND("CIDADE_VAZIA", INDEX(tbl_vendas564[Tipo_Erro], ROW()-ROW(tbl_vendas564[#Headers])))), 0, 1)</f>
        <v>0</v>
      </c>
      <c r="L36" s="1" t="s">
        <v>61</v>
      </c>
      <c r="N36" t="s">
        <v>15</v>
      </c>
      <c r="O36">
        <v>10</v>
      </c>
      <c r="P36" s="2" t="s">
        <v>35</v>
      </c>
      <c r="Q36" s="3" t="str">
        <f t="shared" si="3"/>
        <v>R$ 30</v>
      </c>
      <c r="R36" t="s">
        <v>13</v>
      </c>
      <c r="V36" s="18"/>
    </row>
    <row r="37" spans="1:22" x14ac:dyDescent="0.25">
      <c r="A37">
        <f t="shared" si="4"/>
        <v>35</v>
      </c>
      <c r="B37">
        <v>36</v>
      </c>
      <c r="C37" t="str">
        <f t="shared" si="5"/>
        <v>INCOMPLETA</v>
      </c>
      <c r="D37" t="str">
        <f t="shared" si="6"/>
        <v>ERRO</v>
      </c>
      <c r="E37" t="str">
        <f t="shared" si="2"/>
        <v>QUANTIDADE_VAZIA; PRECO_VAZIA; CLIENTE_VAZIA</v>
      </c>
      <c r="F37" cm="1">
        <f t="array" ref="F37">IF(ISERR(FIND("PRECO_VAZIA", INDEX(tbl_vendas564[Tipo_Erro], ROW()-ROW(tbl_vendas564[#Headers])))), 0, 1)</f>
        <v>1</v>
      </c>
      <c r="G37" cm="1">
        <f t="array" ref="G37">IF(ISERR(FIND("PRODUTO_VAZIA", INDEX(tbl_vendas564[Tipo_Erro], ROW()-ROW(tbl_vendas564[#Headers])))), 0, 1)</f>
        <v>0</v>
      </c>
      <c r="H37" cm="1">
        <f t="array" ref="H37">IF(ISERR(FIND("CLIENTE_VAZIA", INDEX(tbl_vendas564[Tipo_Erro], ROW()-ROW(tbl_vendas564[#Headers])))), 0, 1)</f>
        <v>1</v>
      </c>
      <c r="I37" cm="1">
        <f t="array" ref="I37">IF(ISERR(FIND("QUANTIDADE_NEGATIVA", INDEX(tbl_vendas564[Tipo_Erro], ROW()-ROW(tbl_vendas564[#Headers])))), 0, 1)</f>
        <v>0</v>
      </c>
      <c r="J37" cm="1">
        <f t="array" ref="J37">IF(ISERR(FIND("QUANTIDADE_VAZIA", INDEX(tbl_vendas564[Tipo_Erro], ROW()-ROW(tbl_vendas564[#Headers])))), 0, 1)</f>
        <v>1</v>
      </c>
      <c r="K37" cm="1">
        <f t="array" ref="K37">IF(ISERR(FIND("CIDADE_VAZIA", INDEX(tbl_vendas564[Tipo_Erro], ROW()-ROW(tbl_vendas564[#Headers])))), 0, 1)</f>
        <v>0</v>
      </c>
      <c r="L37" s="1" t="s">
        <v>62</v>
      </c>
      <c r="N37" t="s">
        <v>31</v>
      </c>
      <c r="O37">
        <v>9</v>
      </c>
      <c r="P37" s="2">
        <v>-10</v>
      </c>
      <c r="Q37" s="3" t="str">
        <f t="shared" si="3"/>
        <v/>
      </c>
      <c r="R37" t="s">
        <v>17</v>
      </c>
    </row>
    <row r="38" spans="1:22" x14ac:dyDescent="0.25">
      <c r="A38">
        <f t="shared" si="4"/>
        <v>36</v>
      </c>
      <c r="B38">
        <v>39</v>
      </c>
      <c r="C38" t="str">
        <f t="shared" si="5"/>
        <v>INCOMPLETA</v>
      </c>
      <c r="D38" t="str">
        <f t="shared" si="6"/>
        <v>ERRO</v>
      </c>
      <c r="E38" t="str">
        <f t="shared" si="2"/>
        <v/>
      </c>
      <c r="F38" cm="1">
        <f t="array" ref="F38">IF(ISERR(FIND("PRECO_VAZIA", INDEX(tbl_vendas564[Tipo_Erro], ROW()-ROW(tbl_vendas564[#Headers])))), 0, 1)</f>
        <v>0</v>
      </c>
      <c r="G38" cm="1">
        <f t="array" ref="G38">IF(ISERR(FIND("PRODUTO_VAZIA", INDEX(tbl_vendas564[Tipo_Erro], ROW()-ROW(tbl_vendas564[#Headers])))), 0, 1)</f>
        <v>0</v>
      </c>
      <c r="H38" cm="1">
        <f t="array" ref="H38">IF(ISERR(FIND("CLIENTE_VAZIA", INDEX(tbl_vendas564[Tipo_Erro], ROW()-ROW(tbl_vendas564[#Headers])))), 0, 1)</f>
        <v>0</v>
      </c>
      <c r="I38" cm="1">
        <f t="array" ref="I38">IF(ISERR(FIND("QUANTIDADE_NEGATIVA", INDEX(tbl_vendas564[Tipo_Erro], ROW()-ROW(tbl_vendas564[#Headers])))), 0, 1)</f>
        <v>0</v>
      </c>
      <c r="J38" cm="1">
        <f t="array" ref="J38">IF(ISERR(FIND("QUANTIDADE_VAZIA", INDEX(tbl_vendas564[Tipo_Erro], ROW()-ROW(tbl_vendas564[#Headers])))), 0, 1)</f>
        <v>0</v>
      </c>
      <c r="K38" cm="1">
        <f t="array" ref="K38">IF(ISERR(FIND("CIDADE_VAZIA", INDEX(tbl_vendas564[Tipo_Erro], ROW()-ROW(tbl_vendas564[#Headers])))), 0, 1)</f>
        <v>0</v>
      </c>
      <c r="L38" s="1" t="s">
        <v>64</v>
      </c>
      <c r="M38" t="s">
        <v>8</v>
      </c>
      <c r="N38" t="s">
        <v>37</v>
      </c>
      <c r="P38" s="2">
        <v>344.21</v>
      </c>
      <c r="Q38" s="3">
        <f t="shared" si="3"/>
        <v>344.21</v>
      </c>
      <c r="R38" t="s">
        <v>17</v>
      </c>
    </row>
    <row r="39" spans="1:22" x14ac:dyDescent="0.25">
      <c r="A39">
        <f t="shared" si="4"/>
        <v>37</v>
      </c>
      <c r="B39">
        <v>40</v>
      </c>
      <c r="C39" t="str">
        <f t="shared" si="5"/>
        <v>INCOMPLETA</v>
      </c>
      <c r="D39" t="str">
        <f t="shared" si="6"/>
        <v>ERRO</v>
      </c>
      <c r="E39" t="str">
        <f t="shared" si="2"/>
        <v>QUANTIDADE_VAZIA; PRECO_VAZIA; CLIENTE_VAZIA</v>
      </c>
      <c r="F39" cm="1">
        <f t="array" ref="F39">IF(ISERR(FIND("PRECO_VAZIA", INDEX(tbl_vendas564[Tipo_Erro], ROW()-ROW(tbl_vendas564[#Headers])))), 0, 1)</f>
        <v>1</v>
      </c>
      <c r="G39" cm="1">
        <f t="array" ref="G39">IF(ISERR(FIND("PRODUTO_VAZIA", INDEX(tbl_vendas564[Tipo_Erro], ROW()-ROW(tbl_vendas564[#Headers])))), 0, 1)</f>
        <v>0</v>
      </c>
      <c r="H39" cm="1">
        <f t="array" ref="H39">IF(ISERR(FIND("CLIENTE_VAZIA", INDEX(tbl_vendas564[Tipo_Erro], ROW()-ROW(tbl_vendas564[#Headers])))), 0, 1)</f>
        <v>1</v>
      </c>
      <c r="I39" cm="1">
        <f t="array" ref="I39">IF(ISERR(FIND("QUANTIDADE_NEGATIVA", INDEX(tbl_vendas564[Tipo_Erro], ROW()-ROW(tbl_vendas564[#Headers])))), 0, 1)</f>
        <v>0</v>
      </c>
      <c r="J39" cm="1">
        <f t="array" ref="J39">IF(ISERR(FIND("QUANTIDADE_VAZIA", INDEX(tbl_vendas564[Tipo_Erro], ROW()-ROW(tbl_vendas564[#Headers])))), 0, 1)</f>
        <v>1</v>
      </c>
      <c r="K39" cm="1">
        <f t="array" ref="K39">IF(ISERR(FIND("CIDADE_VAZIA", INDEX(tbl_vendas564[Tipo_Erro], ROW()-ROW(tbl_vendas564[#Headers])))), 0, 1)</f>
        <v>0</v>
      </c>
      <c r="L39" s="1" t="s">
        <v>65</v>
      </c>
      <c r="N39" t="s">
        <v>15</v>
      </c>
      <c r="P39" s="2"/>
      <c r="Q39" s="3" t="str">
        <f t="shared" si="3"/>
        <v/>
      </c>
      <c r="R39" t="s">
        <v>49</v>
      </c>
    </row>
    <row r="40" spans="1:22" x14ac:dyDescent="0.25">
      <c r="A40">
        <f t="shared" si="4"/>
        <v>38</v>
      </c>
      <c r="B40">
        <v>42</v>
      </c>
      <c r="C40" t="str">
        <f t="shared" si="5"/>
        <v>INCOMPLETA</v>
      </c>
      <c r="D40" t="str">
        <f t="shared" si="6"/>
        <v>ERRO</v>
      </c>
      <c r="E40" t="str">
        <f t="shared" si="2"/>
        <v>PRECO_VAZIA</v>
      </c>
      <c r="F40" cm="1">
        <f t="array" ref="F40">IF(ISERR(FIND("PRECO_VAZIA", INDEX(tbl_vendas564[Tipo_Erro], ROW()-ROW(tbl_vendas564[#Headers])))), 0, 1)</f>
        <v>1</v>
      </c>
      <c r="G40" cm="1">
        <f t="array" ref="G40">IF(ISERR(FIND("PRODUTO_VAZIA", INDEX(tbl_vendas564[Tipo_Erro], ROW()-ROW(tbl_vendas564[#Headers])))), 0, 1)</f>
        <v>0</v>
      </c>
      <c r="H40" cm="1">
        <f t="array" ref="H40">IF(ISERR(FIND("CLIENTE_VAZIA", INDEX(tbl_vendas564[Tipo_Erro], ROW()-ROW(tbl_vendas564[#Headers])))), 0, 1)</f>
        <v>0</v>
      </c>
      <c r="I40" cm="1">
        <f t="array" ref="I40">IF(ISERR(FIND("QUANTIDADE_NEGATIVA", INDEX(tbl_vendas564[Tipo_Erro], ROW()-ROW(tbl_vendas564[#Headers])))), 0, 1)</f>
        <v>0</v>
      </c>
      <c r="J40" cm="1">
        <f t="array" ref="J40">IF(ISERR(FIND("QUANTIDADE_VAZIA", INDEX(tbl_vendas564[Tipo_Erro], ROW()-ROW(tbl_vendas564[#Headers])))), 0, 1)</f>
        <v>0</v>
      </c>
      <c r="K40" cm="1">
        <f t="array" ref="K40">IF(ISERR(FIND("CIDADE_VAZIA", INDEX(tbl_vendas564[Tipo_Erro], ROW()-ROW(tbl_vendas564[#Headers])))), 0, 1)</f>
        <v>0</v>
      </c>
      <c r="L40" s="1" t="s">
        <v>67</v>
      </c>
      <c r="M40" t="s">
        <v>26</v>
      </c>
      <c r="N40" t="s">
        <v>9</v>
      </c>
      <c r="O40">
        <v>10</v>
      </c>
      <c r="Q40" s="3" t="str">
        <f t="shared" si="3"/>
        <v/>
      </c>
      <c r="R40" t="s">
        <v>13</v>
      </c>
    </row>
    <row r="41" spans="1:22" x14ac:dyDescent="0.25">
      <c r="A41">
        <f t="shared" si="4"/>
        <v>39</v>
      </c>
      <c r="B41">
        <v>44</v>
      </c>
      <c r="C41" t="str">
        <f t="shared" si="5"/>
        <v>COMPLETA</v>
      </c>
      <c r="D41" t="str">
        <f t="shared" si="6"/>
        <v>OK</v>
      </c>
      <c r="E41" t="str">
        <f t="shared" si="2"/>
        <v/>
      </c>
      <c r="F41" cm="1">
        <f t="array" ref="F41">IF(ISERR(FIND("PRECO_VAZIA", INDEX(tbl_vendas564[Tipo_Erro], ROW()-ROW(tbl_vendas564[#Headers])))), 0, 1)</f>
        <v>0</v>
      </c>
      <c r="G41" cm="1">
        <f t="array" ref="G41">IF(ISERR(FIND("PRODUTO_VAZIA", INDEX(tbl_vendas564[Tipo_Erro], ROW()-ROW(tbl_vendas564[#Headers])))), 0, 1)</f>
        <v>0</v>
      </c>
      <c r="H41" cm="1">
        <f t="array" ref="H41">IF(ISERR(FIND("CLIENTE_VAZIA", INDEX(tbl_vendas564[Tipo_Erro], ROW()-ROW(tbl_vendas564[#Headers])))), 0, 1)</f>
        <v>0</v>
      </c>
      <c r="I41" cm="1">
        <f t="array" ref="I41">IF(ISERR(FIND("QUANTIDADE_NEGATIVA", INDEX(tbl_vendas564[Tipo_Erro], ROW()-ROW(tbl_vendas564[#Headers])))), 0, 1)</f>
        <v>0</v>
      </c>
      <c r="J41" cm="1">
        <f t="array" ref="J41">IF(ISERR(FIND("QUANTIDADE_VAZIA", INDEX(tbl_vendas564[Tipo_Erro], ROW()-ROW(tbl_vendas564[#Headers])))), 0, 1)</f>
        <v>0</v>
      </c>
      <c r="K41" cm="1">
        <f t="array" ref="K41">IF(ISERR(FIND("CIDADE_VAZIA", INDEX(tbl_vendas564[Tipo_Erro], ROW()-ROW(tbl_vendas564[#Headers])))), 0, 1)</f>
        <v>0</v>
      </c>
      <c r="L41" s="1" t="s">
        <v>69</v>
      </c>
      <c r="M41" t="s">
        <v>8</v>
      </c>
      <c r="N41" t="s">
        <v>37</v>
      </c>
      <c r="O41">
        <v>10</v>
      </c>
      <c r="P41" s="2">
        <v>30</v>
      </c>
      <c r="Q41" s="3">
        <f t="shared" si="3"/>
        <v>30</v>
      </c>
      <c r="R41" t="s">
        <v>21</v>
      </c>
    </row>
    <row r="42" spans="1:22" x14ac:dyDescent="0.25">
      <c r="A42">
        <f t="shared" si="4"/>
        <v>40</v>
      </c>
      <c r="B42">
        <v>45</v>
      </c>
      <c r="C42" t="str">
        <f t="shared" si="5"/>
        <v>INCOMPLETA</v>
      </c>
      <c r="D42" t="str">
        <f t="shared" si="6"/>
        <v>ERRO</v>
      </c>
      <c r="E42" t="str">
        <f t="shared" si="2"/>
        <v>PRECO_VAZIA</v>
      </c>
      <c r="F42" cm="1">
        <f t="array" ref="F42">IF(ISERR(FIND("PRECO_VAZIA", INDEX(tbl_vendas564[Tipo_Erro], ROW()-ROW(tbl_vendas564[#Headers])))), 0, 1)</f>
        <v>1</v>
      </c>
      <c r="G42" cm="1">
        <f t="array" ref="G42">IF(ISERR(FIND("PRODUTO_VAZIA", INDEX(tbl_vendas564[Tipo_Erro], ROW()-ROW(tbl_vendas564[#Headers])))), 0, 1)</f>
        <v>0</v>
      </c>
      <c r="H42" cm="1">
        <f t="array" ref="H42">IF(ISERR(FIND("CLIENTE_VAZIA", INDEX(tbl_vendas564[Tipo_Erro], ROW()-ROW(tbl_vendas564[#Headers])))), 0, 1)</f>
        <v>0</v>
      </c>
      <c r="I42" cm="1">
        <f t="array" ref="I42">IF(ISERR(FIND("QUANTIDADE_NEGATIVA", INDEX(tbl_vendas564[Tipo_Erro], ROW()-ROW(tbl_vendas564[#Headers])))), 0, 1)</f>
        <v>0</v>
      </c>
      <c r="J42" cm="1">
        <f t="array" ref="J42">IF(ISERR(FIND("QUANTIDADE_VAZIA", INDEX(tbl_vendas564[Tipo_Erro], ROW()-ROW(tbl_vendas564[#Headers])))), 0, 1)</f>
        <v>0</v>
      </c>
      <c r="K42" cm="1">
        <f t="array" ref="K42">IF(ISERR(FIND("CIDADE_VAZIA", INDEX(tbl_vendas564[Tipo_Erro], ROW()-ROW(tbl_vendas564[#Headers])))), 0, 1)</f>
        <v>0</v>
      </c>
      <c r="L42" s="1" t="s">
        <v>70</v>
      </c>
      <c r="M42" t="s">
        <v>8</v>
      </c>
      <c r="N42" t="s">
        <v>19</v>
      </c>
      <c r="O42">
        <v>14</v>
      </c>
      <c r="P42" s="2"/>
      <c r="Q42" s="3" t="str">
        <f t="shared" si="3"/>
        <v/>
      </c>
      <c r="R42" t="s">
        <v>17</v>
      </c>
    </row>
    <row r="43" spans="1:22" x14ac:dyDescent="0.25">
      <c r="A43">
        <f t="shared" si="4"/>
        <v>41</v>
      </c>
      <c r="B43">
        <v>47</v>
      </c>
      <c r="C43" t="str">
        <f t="shared" si="5"/>
        <v>INCOMPLETA</v>
      </c>
      <c r="D43" t="str">
        <f t="shared" si="6"/>
        <v>ERRO</v>
      </c>
      <c r="E43" t="str">
        <f t="shared" si="2"/>
        <v>QUANTIDADE_NEGATIVA; PRODUTO_VAZIA</v>
      </c>
      <c r="F43" cm="1">
        <f t="array" ref="F43">IF(ISERR(FIND("PRECO_VAZIA", INDEX(tbl_vendas564[Tipo_Erro], ROW()-ROW(tbl_vendas564[#Headers])))), 0, 1)</f>
        <v>0</v>
      </c>
      <c r="G43" cm="1">
        <f t="array" ref="G43">IF(ISERR(FIND("PRODUTO_VAZIA", INDEX(tbl_vendas564[Tipo_Erro], ROW()-ROW(tbl_vendas564[#Headers])))), 0, 1)</f>
        <v>1</v>
      </c>
      <c r="H43" cm="1">
        <f t="array" ref="H43">IF(ISERR(FIND("CLIENTE_VAZIA", INDEX(tbl_vendas564[Tipo_Erro], ROW()-ROW(tbl_vendas564[#Headers])))), 0, 1)</f>
        <v>0</v>
      </c>
      <c r="I43" cm="1">
        <f t="array" ref="I43">IF(ISERR(FIND("QUANTIDADE_NEGATIVA", INDEX(tbl_vendas564[Tipo_Erro], ROW()-ROW(tbl_vendas564[#Headers])))), 0, 1)</f>
        <v>1</v>
      </c>
      <c r="J43" cm="1">
        <f t="array" ref="J43">IF(ISERR(FIND("QUANTIDADE_VAZIA", INDEX(tbl_vendas564[Tipo_Erro], ROW()-ROW(tbl_vendas564[#Headers])))), 0, 1)</f>
        <v>0</v>
      </c>
      <c r="K43" cm="1">
        <f t="array" ref="K43">IF(ISERR(FIND("CIDADE_VAZIA", INDEX(tbl_vendas564[Tipo_Erro], ROW()-ROW(tbl_vendas564[#Headers])))), 0, 1)</f>
        <v>0</v>
      </c>
      <c r="L43" s="1" t="s">
        <v>71</v>
      </c>
      <c r="M43" t="s">
        <v>8</v>
      </c>
      <c r="O43">
        <v>-3</v>
      </c>
      <c r="P43" s="2" t="s">
        <v>35</v>
      </c>
      <c r="Q43" s="3" t="str">
        <f t="shared" si="3"/>
        <v>R$ 30</v>
      </c>
      <c r="R43" t="s">
        <v>10</v>
      </c>
    </row>
    <row r="44" spans="1:22" x14ac:dyDescent="0.25">
      <c r="A44">
        <f t="shared" si="4"/>
        <v>42</v>
      </c>
      <c r="B44">
        <v>48</v>
      </c>
      <c r="C44" t="str">
        <f t="shared" si="5"/>
        <v>COMPLETA</v>
      </c>
      <c r="D44" t="str">
        <f t="shared" si="6"/>
        <v>OK</v>
      </c>
      <c r="E44" t="str">
        <f t="shared" si="2"/>
        <v/>
      </c>
      <c r="F44" cm="1">
        <f t="array" ref="F44">IF(ISERR(FIND("PRECO_VAZIA", INDEX(tbl_vendas564[Tipo_Erro], ROW()-ROW(tbl_vendas564[#Headers])))), 0, 1)</f>
        <v>0</v>
      </c>
      <c r="G44" cm="1">
        <f t="array" ref="G44">IF(ISERR(FIND("PRODUTO_VAZIA", INDEX(tbl_vendas564[Tipo_Erro], ROW()-ROW(tbl_vendas564[#Headers])))), 0, 1)</f>
        <v>0</v>
      </c>
      <c r="H44" cm="1">
        <f t="array" ref="H44">IF(ISERR(FIND("CLIENTE_VAZIA", INDEX(tbl_vendas564[Tipo_Erro], ROW()-ROW(tbl_vendas564[#Headers])))), 0, 1)</f>
        <v>0</v>
      </c>
      <c r="I44" cm="1">
        <f t="array" ref="I44">IF(ISERR(FIND("QUANTIDADE_NEGATIVA", INDEX(tbl_vendas564[Tipo_Erro], ROW()-ROW(tbl_vendas564[#Headers])))), 0, 1)</f>
        <v>0</v>
      </c>
      <c r="J44" cm="1">
        <f t="array" ref="J44">IF(ISERR(FIND("QUANTIDADE_VAZIA", INDEX(tbl_vendas564[Tipo_Erro], ROW()-ROW(tbl_vendas564[#Headers])))), 0, 1)</f>
        <v>0</v>
      </c>
      <c r="K44" cm="1">
        <f t="array" ref="K44">IF(ISERR(FIND("CIDADE_VAZIA", INDEX(tbl_vendas564[Tipo_Erro], ROW()-ROW(tbl_vendas564[#Headers])))), 0, 1)</f>
        <v>0</v>
      </c>
      <c r="L44" t="s">
        <v>72</v>
      </c>
      <c r="M44" t="s">
        <v>33</v>
      </c>
      <c r="N44" t="s">
        <v>15</v>
      </c>
      <c r="O44">
        <v>10</v>
      </c>
      <c r="P44">
        <v>208.98</v>
      </c>
      <c r="Q44" s="3">
        <f t="shared" si="3"/>
        <v>208.98</v>
      </c>
      <c r="R44" t="s">
        <v>17</v>
      </c>
    </row>
    <row r="45" spans="1:22" x14ac:dyDescent="0.25">
      <c r="A45">
        <f t="shared" si="4"/>
        <v>43</v>
      </c>
      <c r="B45">
        <v>48</v>
      </c>
      <c r="C45" t="str">
        <f t="shared" si="5"/>
        <v>INCOMPLETA</v>
      </c>
      <c r="D45" t="str">
        <f t="shared" si="6"/>
        <v>ERRO</v>
      </c>
      <c r="E45" t="str">
        <f t="shared" si="2"/>
        <v>PRECO_VAZIA</v>
      </c>
      <c r="F45" cm="1">
        <f t="array" ref="F45">IF(ISERR(FIND("PRECO_VAZIA", INDEX(tbl_vendas564[Tipo_Erro], ROW()-ROW(tbl_vendas564[#Headers])))), 0, 1)</f>
        <v>1</v>
      </c>
      <c r="G45" cm="1">
        <f t="array" ref="G45">IF(ISERR(FIND("PRODUTO_VAZIA", INDEX(tbl_vendas564[Tipo_Erro], ROW()-ROW(tbl_vendas564[#Headers])))), 0, 1)</f>
        <v>0</v>
      </c>
      <c r="H45" cm="1">
        <f t="array" ref="H45">IF(ISERR(FIND("CLIENTE_VAZIA", INDEX(tbl_vendas564[Tipo_Erro], ROW()-ROW(tbl_vendas564[#Headers])))), 0, 1)</f>
        <v>0</v>
      </c>
      <c r="I45" cm="1">
        <f t="array" ref="I45">IF(ISERR(FIND("QUANTIDADE_NEGATIVA", INDEX(tbl_vendas564[Tipo_Erro], ROW()-ROW(tbl_vendas564[#Headers])))), 0, 1)</f>
        <v>0</v>
      </c>
      <c r="J45" cm="1">
        <f t="array" ref="J45">IF(ISERR(FIND("QUANTIDADE_VAZIA", INDEX(tbl_vendas564[Tipo_Erro], ROW()-ROW(tbl_vendas564[#Headers])))), 0, 1)</f>
        <v>0</v>
      </c>
      <c r="K45" cm="1">
        <f t="array" ref="K45">IF(ISERR(FIND("CIDADE_VAZIA", INDEX(tbl_vendas564[Tipo_Erro], ROW()-ROW(tbl_vendas564[#Headers])))), 0, 1)</f>
        <v>0</v>
      </c>
      <c r="L45" s="1" t="s">
        <v>90</v>
      </c>
      <c r="M45" t="s">
        <v>26</v>
      </c>
      <c r="N45" t="s">
        <v>47</v>
      </c>
      <c r="P45" s="2">
        <v>-10</v>
      </c>
      <c r="Q45" s="3" t="str">
        <f t="shared" si="3"/>
        <v/>
      </c>
      <c r="R45" t="s">
        <v>49</v>
      </c>
    </row>
    <row r="46" spans="1:22" x14ac:dyDescent="0.25">
      <c r="A46">
        <f t="shared" si="4"/>
        <v>44</v>
      </c>
      <c r="B46">
        <v>49</v>
      </c>
      <c r="C46" t="str">
        <f t="shared" si="5"/>
        <v>INCOMPLETA</v>
      </c>
      <c r="D46" t="str">
        <f t="shared" si="6"/>
        <v>ERRO</v>
      </c>
      <c r="E46" t="str">
        <f t="shared" si="2"/>
        <v>PRECO_VAZIA; CIDADE_VAZIA</v>
      </c>
      <c r="F46" cm="1">
        <f t="array" ref="F46">IF(ISERR(FIND("PRECO_VAZIA", INDEX(tbl_vendas564[Tipo_Erro], ROW()-ROW(tbl_vendas564[#Headers])))), 0, 1)</f>
        <v>1</v>
      </c>
      <c r="G46" cm="1">
        <f t="array" ref="G46">IF(ISERR(FIND("PRODUTO_VAZIA", INDEX(tbl_vendas564[Tipo_Erro], ROW()-ROW(tbl_vendas564[#Headers])))), 0, 1)</f>
        <v>0</v>
      </c>
      <c r="H46" cm="1">
        <f t="array" ref="H46">IF(ISERR(FIND("CLIENTE_VAZIA", INDEX(tbl_vendas564[Tipo_Erro], ROW()-ROW(tbl_vendas564[#Headers])))), 0, 1)</f>
        <v>0</v>
      </c>
      <c r="I46" cm="1">
        <f t="array" ref="I46">IF(ISERR(FIND("QUANTIDADE_NEGATIVA", INDEX(tbl_vendas564[Tipo_Erro], ROW()-ROW(tbl_vendas564[#Headers])))), 0, 1)</f>
        <v>0</v>
      </c>
      <c r="J46" cm="1">
        <f t="array" ref="J46">IF(ISERR(FIND("QUANTIDADE_VAZIA", INDEX(tbl_vendas564[Tipo_Erro], ROW()-ROW(tbl_vendas564[#Headers])))), 0, 1)</f>
        <v>0</v>
      </c>
      <c r="K46" cm="1">
        <f t="array" ref="K46">IF(ISERR(FIND("CIDADE_VAZIA", INDEX(tbl_vendas564[Tipo_Erro], ROW()-ROW(tbl_vendas564[#Headers])))), 0, 1)</f>
        <v>1</v>
      </c>
      <c r="L46" s="1" t="s">
        <v>68</v>
      </c>
      <c r="M46" t="s">
        <v>8</v>
      </c>
      <c r="N46" t="s">
        <v>53</v>
      </c>
      <c r="O46">
        <v>10</v>
      </c>
      <c r="P46" s="2">
        <v>-10</v>
      </c>
      <c r="Q46" s="3" t="str">
        <f t="shared" si="3"/>
        <v/>
      </c>
    </row>
    <row r="47" spans="1:22" x14ac:dyDescent="0.25">
      <c r="A47">
        <f t="shared" si="4"/>
        <v>45</v>
      </c>
      <c r="B47">
        <v>49</v>
      </c>
      <c r="C47" t="str">
        <f t="shared" si="5"/>
        <v>INCOMPLETA</v>
      </c>
      <c r="D47" t="str">
        <f t="shared" si="6"/>
        <v>ERRO</v>
      </c>
      <c r="E47" t="str">
        <f t="shared" si="2"/>
        <v>QUANTIDADE_VAZIA; QUANTIDADE_NEGATIVA; PRECO_VAZIA; CLIENTE_VAZIA</v>
      </c>
      <c r="F47" cm="1">
        <f t="array" ref="F47">IF(ISERR(FIND("PRECO_VAZIA", INDEX(tbl_vendas564[Tipo_Erro], ROW()-ROW(tbl_vendas564[#Headers])))), 0, 1)</f>
        <v>1</v>
      </c>
      <c r="G47" cm="1">
        <f t="array" ref="G47">IF(ISERR(FIND("PRODUTO_VAZIA", INDEX(tbl_vendas564[Tipo_Erro], ROW()-ROW(tbl_vendas564[#Headers])))), 0, 1)</f>
        <v>0</v>
      </c>
      <c r="H47" cm="1">
        <f t="array" ref="H47">IF(ISERR(FIND("CLIENTE_VAZIA", INDEX(tbl_vendas564[Tipo_Erro], ROW()-ROW(tbl_vendas564[#Headers])))), 0, 1)</f>
        <v>1</v>
      </c>
      <c r="I47" cm="1">
        <f t="array" ref="I47">IF(ISERR(FIND("QUANTIDADE_NEGATIVA", INDEX(tbl_vendas564[Tipo_Erro], ROW()-ROW(tbl_vendas564[#Headers])))), 0, 1)</f>
        <v>1</v>
      </c>
      <c r="J47" cm="1">
        <f t="array" ref="J47">IF(ISERR(FIND("QUANTIDADE_VAZIA", INDEX(tbl_vendas564[Tipo_Erro], ROW()-ROW(tbl_vendas564[#Headers])))), 0, 1)</f>
        <v>1</v>
      </c>
      <c r="K47" cm="1">
        <f t="array" ref="K47">IF(ISERR(FIND("CIDADE_VAZIA", INDEX(tbl_vendas564[Tipo_Erro], ROW()-ROW(tbl_vendas564[#Headers])))), 0, 1)</f>
        <v>0</v>
      </c>
      <c r="L47" s="1" t="s">
        <v>73</v>
      </c>
      <c r="N47" t="s">
        <v>19</v>
      </c>
      <c r="O47">
        <v>-3</v>
      </c>
      <c r="P47" s="2"/>
      <c r="Q47" s="3" t="str">
        <f t="shared" si="3"/>
        <v/>
      </c>
      <c r="R47" t="s">
        <v>10</v>
      </c>
      <c r="T47" s="25" t="s">
        <v>175</v>
      </c>
    </row>
    <row r="48" spans="1:22" x14ac:dyDescent="0.25">
      <c r="A48">
        <f t="shared" si="4"/>
        <v>46</v>
      </c>
      <c r="B48">
        <v>50</v>
      </c>
      <c r="C48" t="str">
        <f t="shared" si="5"/>
        <v>INCOMPLETA</v>
      </c>
      <c r="D48" t="str">
        <f t="shared" si="6"/>
        <v>ERRO</v>
      </c>
      <c r="E48" t="str">
        <f t="shared" si="2"/>
        <v>PRECO_VAZIA; CIDADE_VAZIA</v>
      </c>
      <c r="F48" cm="1">
        <f t="array" ref="F48">IF(ISERR(FIND("PRECO_VAZIA", INDEX(tbl_vendas564[Tipo_Erro], ROW()-ROW(tbl_vendas564[#Headers])))), 0, 1)</f>
        <v>1</v>
      </c>
      <c r="G48" cm="1">
        <f t="array" ref="G48">IF(ISERR(FIND("PRODUTO_VAZIA", INDEX(tbl_vendas564[Tipo_Erro], ROW()-ROW(tbl_vendas564[#Headers])))), 0, 1)</f>
        <v>0</v>
      </c>
      <c r="H48" cm="1">
        <f t="array" ref="H48">IF(ISERR(FIND("CLIENTE_VAZIA", INDEX(tbl_vendas564[Tipo_Erro], ROW()-ROW(tbl_vendas564[#Headers])))), 0, 1)</f>
        <v>0</v>
      </c>
      <c r="I48" cm="1">
        <f t="array" ref="I48">IF(ISERR(FIND("QUANTIDADE_NEGATIVA", INDEX(tbl_vendas564[Tipo_Erro], ROW()-ROW(tbl_vendas564[#Headers])))), 0, 1)</f>
        <v>0</v>
      </c>
      <c r="J48" cm="1">
        <f t="array" ref="J48">IF(ISERR(FIND("QUANTIDADE_VAZIA", INDEX(tbl_vendas564[Tipo_Erro], ROW()-ROW(tbl_vendas564[#Headers])))), 0, 1)</f>
        <v>0</v>
      </c>
      <c r="K48" cm="1">
        <f t="array" ref="K48">IF(ISERR(FIND("CIDADE_VAZIA", INDEX(tbl_vendas564[Tipo_Erro], ROW()-ROW(tbl_vendas564[#Headers])))), 0, 1)</f>
        <v>1</v>
      </c>
      <c r="L48" s="1" t="s">
        <v>74</v>
      </c>
      <c r="M48" t="s">
        <v>26</v>
      </c>
      <c r="N48" t="s">
        <v>23</v>
      </c>
      <c r="O48">
        <v>10</v>
      </c>
      <c r="P48" s="2"/>
      <c r="Q48" s="3" t="str">
        <f t="shared" si="3"/>
        <v/>
      </c>
      <c r="T48" s="25"/>
      <c r="V48" t="s">
        <v>176</v>
      </c>
    </row>
    <row r="49" spans="1:22" ht="15" customHeight="1" x14ac:dyDescent="0.25">
      <c r="A49">
        <f t="shared" si="4"/>
        <v>47</v>
      </c>
      <c r="B49">
        <v>51</v>
      </c>
      <c r="C49" t="str">
        <f t="shared" si="5"/>
        <v>INCOMPLETA</v>
      </c>
      <c r="D49" t="str">
        <f t="shared" si="6"/>
        <v>ERRO</v>
      </c>
      <c r="E49" t="str">
        <f t="shared" si="2"/>
        <v/>
      </c>
      <c r="F49" cm="1">
        <f t="array" ref="F49">IF(ISERR(FIND("PRECO_VAZIA", INDEX(tbl_vendas564[Tipo_Erro], ROW()-ROW(tbl_vendas564[#Headers])))), 0, 1)</f>
        <v>0</v>
      </c>
      <c r="G49" cm="1">
        <f t="array" ref="G49">IF(ISERR(FIND("PRODUTO_VAZIA", INDEX(tbl_vendas564[Tipo_Erro], ROW()-ROW(tbl_vendas564[#Headers])))), 0, 1)</f>
        <v>0</v>
      </c>
      <c r="H49" cm="1">
        <f t="array" ref="H49">IF(ISERR(FIND("CLIENTE_VAZIA", INDEX(tbl_vendas564[Tipo_Erro], ROW()-ROW(tbl_vendas564[#Headers])))), 0, 1)</f>
        <v>0</v>
      </c>
      <c r="I49" cm="1">
        <f t="array" ref="I49">IF(ISERR(FIND("QUANTIDADE_NEGATIVA", INDEX(tbl_vendas564[Tipo_Erro], ROW()-ROW(tbl_vendas564[#Headers])))), 0, 1)</f>
        <v>0</v>
      </c>
      <c r="J49" cm="1">
        <f t="array" ref="J49">IF(ISERR(FIND("QUANTIDADE_VAZIA", INDEX(tbl_vendas564[Tipo_Erro], ROW()-ROW(tbl_vendas564[#Headers])))), 0, 1)</f>
        <v>0</v>
      </c>
      <c r="K49" cm="1">
        <f t="array" ref="K49">IF(ISERR(FIND("CIDADE_VAZIA", INDEX(tbl_vendas564[Tipo_Erro], ROW()-ROW(tbl_vendas564[#Headers])))), 0, 1)</f>
        <v>0</v>
      </c>
      <c r="L49" s="1" t="s">
        <v>75</v>
      </c>
      <c r="M49" t="s">
        <v>26</v>
      </c>
      <c r="N49" t="s">
        <v>37</v>
      </c>
      <c r="P49" s="2">
        <v>492.13</v>
      </c>
      <c r="Q49" s="3">
        <f t="shared" si="3"/>
        <v>492.13</v>
      </c>
      <c r="R49" t="s">
        <v>49</v>
      </c>
      <c r="T49" s="24">
        <f>IFERROR(COUNTIF(tbl_vendas564[Status_Final],"OK") / COUNTA(tbl_vendas564[Status_Final]), 0)</f>
        <v>7.4999999999999997E-2</v>
      </c>
      <c r="V49" s="26">
        <v>185</v>
      </c>
    </row>
    <row r="50" spans="1:22" ht="15" customHeight="1" x14ac:dyDescent="0.25">
      <c r="A50">
        <f t="shared" si="4"/>
        <v>48</v>
      </c>
      <c r="B50">
        <v>52</v>
      </c>
      <c r="C50" t="str">
        <f t="shared" si="5"/>
        <v>INCOMPLETA</v>
      </c>
      <c r="D50" t="str">
        <f t="shared" si="6"/>
        <v>ERRO</v>
      </c>
      <c r="E50" t="str">
        <f t="shared" si="2"/>
        <v>QUANTIDADE_VAZIA; QUANTIDADE_NEGATIVA; PRECO_VAZIA; CLIENTE_VAZIA; CIDADE_VAZIA</v>
      </c>
      <c r="F50" cm="1">
        <f t="array" ref="F50">IF(ISERR(FIND("PRECO_VAZIA", INDEX(tbl_vendas564[Tipo_Erro], ROW()-ROW(tbl_vendas564[#Headers])))), 0, 1)</f>
        <v>1</v>
      </c>
      <c r="G50" cm="1">
        <f t="array" ref="G50">IF(ISERR(FIND("PRODUTO_VAZIA", INDEX(tbl_vendas564[Tipo_Erro], ROW()-ROW(tbl_vendas564[#Headers])))), 0, 1)</f>
        <v>0</v>
      </c>
      <c r="H50" cm="1">
        <f t="array" ref="H50">IF(ISERR(FIND("CLIENTE_VAZIA", INDEX(tbl_vendas564[Tipo_Erro], ROW()-ROW(tbl_vendas564[#Headers])))), 0, 1)</f>
        <v>1</v>
      </c>
      <c r="I50" cm="1">
        <f t="array" ref="I50">IF(ISERR(FIND("QUANTIDADE_NEGATIVA", INDEX(tbl_vendas564[Tipo_Erro], ROW()-ROW(tbl_vendas564[#Headers])))), 0, 1)</f>
        <v>1</v>
      </c>
      <c r="J50" cm="1">
        <f t="array" ref="J50">IF(ISERR(FIND("QUANTIDADE_VAZIA", INDEX(tbl_vendas564[Tipo_Erro], ROW()-ROW(tbl_vendas564[#Headers])))), 0, 1)</f>
        <v>1</v>
      </c>
      <c r="K50" cm="1">
        <f t="array" ref="K50">IF(ISERR(FIND("CIDADE_VAZIA", INDEX(tbl_vendas564[Tipo_Erro], ROW()-ROW(tbl_vendas564[#Headers])))), 0, 1)</f>
        <v>1</v>
      </c>
      <c r="L50" s="1" t="s">
        <v>76</v>
      </c>
      <c r="N50" t="s">
        <v>9</v>
      </c>
      <c r="O50">
        <v>-3</v>
      </c>
      <c r="P50" s="2"/>
      <c r="Q50" s="3" t="str">
        <f t="shared" si="3"/>
        <v/>
      </c>
      <c r="T50" s="24"/>
      <c r="V50" s="26"/>
    </row>
    <row r="51" spans="1:22" ht="15" customHeight="1" x14ac:dyDescent="0.25">
      <c r="A51">
        <f t="shared" si="4"/>
        <v>49</v>
      </c>
      <c r="B51">
        <v>53</v>
      </c>
      <c r="C51" t="str">
        <f t="shared" si="5"/>
        <v>INCOMPLETA</v>
      </c>
      <c r="D51" t="str">
        <f t="shared" si="6"/>
        <v>ERRO</v>
      </c>
      <c r="E51" t="str">
        <f t="shared" si="2"/>
        <v>PRECO_VAZIA</v>
      </c>
      <c r="F51" cm="1">
        <f t="array" ref="F51">IF(ISERR(FIND("PRECO_VAZIA", INDEX(tbl_vendas564[Tipo_Erro], ROW()-ROW(tbl_vendas564[#Headers])))), 0, 1)</f>
        <v>1</v>
      </c>
      <c r="G51" cm="1">
        <f t="array" ref="G51">IF(ISERR(FIND("PRODUTO_VAZIA", INDEX(tbl_vendas564[Tipo_Erro], ROW()-ROW(tbl_vendas564[#Headers])))), 0, 1)</f>
        <v>0</v>
      </c>
      <c r="H51" cm="1">
        <f t="array" ref="H51">IF(ISERR(FIND("CLIENTE_VAZIA", INDEX(tbl_vendas564[Tipo_Erro], ROW()-ROW(tbl_vendas564[#Headers])))), 0, 1)</f>
        <v>0</v>
      </c>
      <c r="I51" cm="1">
        <f t="array" ref="I51">IF(ISERR(FIND("QUANTIDADE_NEGATIVA", INDEX(tbl_vendas564[Tipo_Erro], ROW()-ROW(tbl_vendas564[#Headers])))), 0, 1)</f>
        <v>0</v>
      </c>
      <c r="J51" cm="1">
        <f t="array" ref="J51">IF(ISERR(FIND("QUANTIDADE_VAZIA", INDEX(tbl_vendas564[Tipo_Erro], ROW()-ROW(tbl_vendas564[#Headers])))), 0, 1)</f>
        <v>0</v>
      </c>
      <c r="K51" cm="1">
        <f t="array" ref="K51">IF(ISERR(FIND("CIDADE_VAZIA", INDEX(tbl_vendas564[Tipo_Erro], ROW()-ROW(tbl_vendas564[#Headers])))), 0, 1)</f>
        <v>0</v>
      </c>
      <c r="L51" s="1" t="s">
        <v>77</v>
      </c>
      <c r="M51" t="s">
        <v>12</v>
      </c>
      <c r="N51" t="s">
        <v>47</v>
      </c>
      <c r="P51" s="2">
        <v>-10</v>
      </c>
      <c r="Q51" s="3" t="str">
        <f t="shared" si="3"/>
        <v/>
      </c>
      <c r="R51" t="s">
        <v>21</v>
      </c>
      <c r="T51" s="24"/>
      <c r="V51" s="26"/>
    </row>
    <row r="52" spans="1:22" ht="15" customHeight="1" x14ac:dyDescent="0.25">
      <c r="A52">
        <f t="shared" si="4"/>
        <v>50</v>
      </c>
      <c r="B52">
        <v>54</v>
      </c>
      <c r="C52" t="str">
        <f t="shared" si="5"/>
        <v>INCOMPLETA</v>
      </c>
      <c r="D52" t="str">
        <f t="shared" si="6"/>
        <v>ERRO</v>
      </c>
      <c r="E52" t="str">
        <f t="shared" si="2"/>
        <v>PRECO_VAZIA</v>
      </c>
      <c r="F52" cm="1">
        <f t="array" ref="F52">IF(ISERR(FIND("PRECO_VAZIA", INDEX(tbl_vendas564[Tipo_Erro], ROW()-ROW(tbl_vendas564[#Headers])))), 0, 1)</f>
        <v>1</v>
      </c>
      <c r="G52" cm="1">
        <f t="array" ref="G52">IF(ISERR(FIND("PRODUTO_VAZIA", INDEX(tbl_vendas564[Tipo_Erro], ROW()-ROW(tbl_vendas564[#Headers])))), 0, 1)</f>
        <v>0</v>
      </c>
      <c r="H52" cm="1">
        <f t="array" ref="H52">IF(ISERR(FIND("CLIENTE_VAZIA", INDEX(tbl_vendas564[Tipo_Erro], ROW()-ROW(tbl_vendas564[#Headers])))), 0, 1)</f>
        <v>0</v>
      </c>
      <c r="I52" cm="1">
        <f t="array" ref="I52">IF(ISERR(FIND("QUANTIDADE_NEGATIVA", INDEX(tbl_vendas564[Tipo_Erro], ROW()-ROW(tbl_vendas564[#Headers])))), 0, 1)</f>
        <v>0</v>
      </c>
      <c r="J52" cm="1">
        <f t="array" ref="J52">IF(ISERR(FIND("QUANTIDADE_VAZIA", INDEX(tbl_vendas564[Tipo_Erro], ROW()-ROW(tbl_vendas564[#Headers])))), 0, 1)</f>
        <v>0</v>
      </c>
      <c r="K52" cm="1">
        <f t="array" ref="K52">IF(ISERR(FIND("CIDADE_VAZIA", INDEX(tbl_vendas564[Tipo_Erro], ROW()-ROW(tbl_vendas564[#Headers])))), 0, 1)</f>
        <v>0</v>
      </c>
      <c r="L52" s="1" t="s">
        <v>71</v>
      </c>
      <c r="M52" t="s">
        <v>33</v>
      </c>
      <c r="N52" t="s">
        <v>15</v>
      </c>
      <c r="O52">
        <v>10</v>
      </c>
      <c r="P52" s="2">
        <v>-10</v>
      </c>
      <c r="Q52" s="3" t="str">
        <f t="shared" si="3"/>
        <v/>
      </c>
      <c r="R52" t="s">
        <v>10</v>
      </c>
      <c r="T52" s="24"/>
      <c r="V52" s="26"/>
    </row>
    <row r="53" spans="1:22" ht="15" customHeight="1" x14ac:dyDescent="0.25">
      <c r="A53">
        <f t="shared" si="4"/>
        <v>51</v>
      </c>
      <c r="B53">
        <v>54</v>
      </c>
      <c r="C53" t="str">
        <f t="shared" si="5"/>
        <v>INCOMPLETA</v>
      </c>
      <c r="D53" t="str">
        <f t="shared" si="6"/>
        <v>ERRO</v>
      </c>
      <c r="E53" t="str">
        <f t="shared" si="2"/>
        <v>QUANTIDADE_VAZIA; PRECO_VAZIA; CLIENTE_VAZIA</v>
      </c>
      <c r="F53" cm="1">
        <f t="array" ref="F53">IF(ISERR(FIND("PRECO_VAZIA", INDEX(tbl_vendas564[Tipo_Erro], ROW()-ROW(tbl_vendas564[#Headers])))), 0, 1)</f>
        <v>1</v>
      </c>
      <c r="G53" cm="1">
        <f t="array" ref="G53">IF(ISERR(FIND("PRODUTO_VAZIA", INDEX(tbl_vendas564[Tipo_Erro], ROW()-ROW(tbl_vendas564[#Headers])))), 0, 1)</f>
        <v>0</v>
      </c>
      <c r="H53" cm="1">
        <f t="array" ref="H53">IF(ISERR(FIND("CLIENTE_VAZIA", INDEX(tbl_vendas564[Tipo_Erro], ROW()-ROW(tbl_vendas564[#Headers])))), 0, 1)</f>
        <v>1</v>
      </c>
      <c r="I53" cm="1">
        <f t="array" ref="I53">IF(ISERR(FIND("QUANTIDADE_NEGATIVA", INDEX(tbl_vendas564[Tipo_Erro], ROW()-ROW(tbl_vendas564[#Headers])))), 0, 1)</f>
        <v>0</v>
      </c>
      <c r="J53" cm="1">
        <f t="array" ref="J53">IF(ISERR(FIND("QUANTIDADE_VAZIA", INDEX(tbl_vendas564[Tipo_Erro], ROW()-ROW(tbl_vendas564[#Headers])))), 0, 1)</f>
        <v>1</v>
      </c>
      <c r="K53" cm="1">
        <f t="array" ref="K53">IF(ISERR(FIND("CIDADE_VAZIA", INDEX(tbl_vendas564[Tipo_Erro], ROW()-ROW(tbl_vendas564[#Headers])))), 0, 1)</f>
        <v>0</v>
      </c>
      <c r="L53" s="1" t="s">
        <v>124</v>
      </c>
      <c r="N53" t="s">
        <v>37</v>
      </c>
      <c r="O53">
        <v>10</v>
      </c>
      <c r="P53" s="2"/>
      <c r="Q53" s="3" t="str">
        <f t="shared" si="3"/>
        <v/>
      </c>
      <c r="R53" t="s">
        <v>10</v>
      </c>
      <c r="T53" s="24"/>
      <c r="V53" s="26"/>
    </row>
    <row r="54" spans="1:22" x14ac:dyDescent="0.25">
      <c r="A54">
        <f t="shared" si="4"/>
        <v>52</v>
      </c>
      <c r="B54">
        <v>55</v>
      </c>
      <c r="C54" t="str">
        <f t="shared" si="5"/>
        <v>INCOMPLETA</v>
      </c>
      <c r="D54" t="str">
        <f t="shared" si="6"/>
        <v>ERRO</v>
      </c>
      <c r="E54" t="str">
        <f t="shared" si="2"/>
        <v>PRECO_VAZIA; PRODUTO_VAZIA</v>
      </c>
      <c r="F54" cm="1">
        <f t="array" ref="F54">IF(ISERR(FIND("PRECO_VAZIA", INDEX(tbl_vendas564[Tipo_Erro], ROW()-ROW(tbl_vendas564[#Headers])))), 0, 1)</f>
        <v>1</v>
      </c>
      <c r="G54" cm="1">
        <f t="array" ref="G54">IF(ISERR(FIND("PRODUTO_VAZIA", INDEX(tbl_vendas564[Tipo_Erro], ROW()-ROW(tbl_vendas564[#Headers])))), 0, 1)</f>
        <v>1</v>
      </c>
      <c r="H54" cm="1">
        <f t="array" ref="H54">IF(ISERR(FIND("CLIENTE_VAZIA", INDEX(tbl_vendas564[Tipo_Erro], ROW()-ROW(tbl_vendas564[#Headers])))), 0, 1)</f>
        <v>0</v>
      </c>
      <c r="I54" cm="1">
        <f t="array" ref="I54">IF(ISERR(FIND("QUANTIDADE_NEGATIVA", INDEX(tbl_vendas564[Tipo_Erro], ROW()-ROW(tbl_vendas564[#Headers])))), 0, 1)</f>
        <v>0</v>
      </c>
      <c r="J54" cm="1">
        <f t="array" ref="J54">IF(ISERR(FIND("QUANTIDADE_VAZIA", INDEX(tbl_vendas564[Tipo_Erro], ROW()-ROW(tbl_vendas564[#Headers])))), 0, 1)</f>
        <v>0</v>
      </c>
      <c r="K54" cm="1">
        <f t="array" ref="K54">IF(ISERR(FIND("CIDADE_VAZIA", INDEX(tbl_vendas564[Tipo_Erro], ROW()-ROW(tbl_vendas564[#Headers])))), 0, 1)</f>
        <v>0</v>
      </c>
      <c r="L54" s="1" t="s">
        <v>59</v>
      </c>
      <c r="M54" t="s">
        <v>33</v>
      </c>
      <c r="P54" s="2">
        <v>-10</v>
      </c>
      <c r="Q54" s="3" t="str">
        <f t="shared" si="3"/>
        <v/>
      </c>
      <c r="R54" t="s">
        <v>49</v>
      </c>
    </row>
    <row r="55" spans="1:22" x14ac:dyDescent="0.25">
      <c r="A55">
        <f t="shared" si="4"/>
        <v>53</v>
      </c>
      <c r="B55">
        <v>56</v>
      </c>
      <c r="C55" t="str">
        <f t="shared" si="5"/>
        <v>INCOMPLETA</v>
      </c>
      <c r="D55" t="str">
        <f t="shared" si="6"/>
        <v>ERRO</v>
      </c>
      <c r="E55" t="str">
        <f t="shared" si="2"/>
        <v>PRODUTO_VAZIA; CIDADE_VAZIA</v>
      </c>
      <c r="F55" cm="1">
        <f t="array" ref="F55">IF(ISERR(FIND("PRECO_VAZIA", INDEX(tbl_vendas564[Tipo_Erro], ROW()-ROW(tbl_vendas564[#Headers])))), 0, 1)</f>
        <v>0</v>
      </c>
      <c r="G55" cm="1">
        <f t="array" ref="G55">IF(ISERR(FIND("PRODUTO_VAZIA", INDEX(tbl_vendas564[Tipo_Erro], ROW()-ROW(tbl_vendas564[#Headers])))), 0, 1)</f>
        <v>1</v>
      </c>
      <c r="H55" cm="1">
        <f t="array" ref="H55">IF(ISERR(FIND("CLIENTE_VAZIA", INDEX(tbl_vendas564[Tipo_Erro], ROW()-ROW(tbl_vendas564[#Headers])))), 0, 1)</f>
        <v>0</v>
      </c>
      <c r="I55" cm="1">
        <f t="array" ref="I55">IF(ISERR(FIND("QUANTIDADE_NEGATIVA", INDEX(tbl_vendas564[Tipo_Erro], ROW()-ROW(tbl_vendas564[#Headers])))), 0, 1)</f>
        <v>0</v>
      </c>
      <c r="J55" cm="1">
        <f t="array" ref="J55">IF(ISERR(FIND("QUANTIDADE_VAZIA", INDEX(tbl_vendas564[Tipo_Erro], ROW()-ROW(tbl_vendas564[#Headers])))), 0, 1)</f>
        <v>0</v>
      </c>
      <c r="K55" cm="1">
        <f t="array" ref="K55">IF(ISERR(FIND("CIDADE_VAZIA", INDEX(tbl_vendas564[Tipo_Erro], ROW()-ROW(tbl_vendas564[#Headers])))), 0, 1)</f>
        <v>1</v>
      </c>
      <c r="L55" s="1" t="s">
        <v>29</v>
      </c>
      <c r="M55" t="s">
        <v>8</v>
      </c>
      <c r="P55" s="2">
        <v>144.55000000000001</v>
      </c>
      <c r="Q55" s="3">
        <f t="shared" si="3"/>
        <v>144.55000000000001</v>
      </c>
    </row>
    <row r="56" spans="1:22" x14ac:dyDescent="0.25">
      <c r="A56">
        <f t="shared" si="4"/>
        <v>54</v>
      </c>
      <c r="B56">
        <v>56</v>
      </c>
      <c r="C56" t="str">
        <f t="shared" si="5"/>
        <v>COMPLETA</v>
      </c>
      <c r="D56" t="str">
        <f t="shared" si="6"/>
        <v>ERRO</v>
      </c>
      <c r="E56" t="str">
        <f t="shared" si="2"/>
        <v/>
      </c>
      <c r="F56" cm="1">
        <f t="array" ref="F56">IF(ISERR(FIND("PRECO_VAZIA", INDEX(tbl_vendas564[Tipo_Erro], ROW()-ROW(tbl_vendas564[#Headers])))), 0, 1)</f>
        <v>0</v>
      </c>
      <c r="G56" cm="1">
        <f t="array" ref="G56">IF(ISERR(FIND("PRODUTO_VAZIA", INDEX(tbl_vendas564[Tipo_Erro], ROW()-ROW(tbl_vendas564[#Headers])))), 0, 1)</f>
        <v>0</v>
      </c>
      <c r="H56" cm="1">
        <f t="array" ref="H56">IF(ISERR(FIND("CLIENTE_VAZIA", INDEX(tbl_vendas564[Tipo_Erro], ROW()-ROW(tbl_vendas564[#Headers])))), 0, 1)</f>
        <v>0</v>
      </c>
      <c r="I56" cm="1">
        <f t="array" ref="I56">IF(ISERR(FIND("QUANTIDADE_NEGATIVA", INDEX(tbl_vendas564[Tipo_Erro], ROW()-ROW(tbl_vendas564[#Headers])))), 0, 1)</f>
        <v>0</v>
      </c>
      <c r="J56" cm="1">
        <f t="array" ref="J56">IF(ISERR(FIND("QUANTIDADE_VAZIA", INDEX(tbl_vendas564[Tipo_Erro], ROW()-ROW(tbl_vendas564[#Headers])))), 0, 1)</f>
        <v>0</v>
      </c>
      <c r="K56" cm="1">
        <f t="array" ref="K56">IF(ISERR(FIND("CIDADE_VAZIA", INDEX(tbl_vendas564[Tipo_Erro], ROW()-ROW(tbl_vendas564[#Headers])))), 0, 1)</f>
        <v>0</v>
      </c>
      <c r="L56" s="1" t="s">
        <v>128</v>
      </c>
      <c r="M56" t="s">
        <v>8</v>
      </c>
      <c r="N56" t="s">
        <v>37</v>
      </c>
      <c r="O56">
        <v>14</v>
      </c>
      <c r="P56" s="2" t="s">
        <v>35</v>
      </c>
      <c r="Q56" s="3" t="str">
        <f t="shared" si="3"/>
        <v>R$ 30</v>
      </c>
      <c r="R56" t="s">
        <v>13</v>
      </c>
    </row>
    <row r="57" spans="1:22" x14ac:dyDescent="0.25">
      <c r="A57">
        <f t="shared" si="4"/>
        <v>55</v>
      </c>
      <c r="B57">
        <v>57</v>
      </c>
      <c r="C57" t="str">
        <f t="shared" si="5"/>
        <v>INCOMPLETA</v>
      </c>
      <c r="D57" t="str">
        <f t="shared" si="6"/>
        <v>ERRO</v>
      </c>
      <c r="E57" t="str">
        <f t="shared" si="2"/>
        <v>PRECO_VAZIA</v>
      </c>
      <c r="F57" cm="1">
        <f t="array" ref="F57">IF(ISERR(FIND("PRECO_VAZIA", INDEX(tbl_vendas564[Tipo_Erro], ROW()-ROW(tbl_vendas564[#Headers])))), 0, 1)</f>
        <v>1</v>
      </c>
      <c r="G57" cm="1">
        <f t="array" ref="G57">IF(ISERR(FIND("PRODUTO_VAZIA", INDEX(tbl_vendas564[Tipo_Erro], ROW()-ROW(tbl_vendas564[#Headers])))), 0, 1)</f>
        <v>0</v>
      </c>
      <c r="H57" cm="1">
        <f t="array" ref="H57">IF(ISERR(FIND("CLIENTE_VAZIA", INDEX(tbl_vendas564[Tipo_Erro], ROW()-ROW(tbl_vendas564[#Headers])))), 0, 1)</f>
        <v>0</v>
      </c>
      <c r="I57" cm="1">
        <f t="array" ref="I57">IF(ISERR(FIND("QUANTIDADE_NEGATIVA", INDEX(tbl_vendas564[Tipo_Erro], ROW()-ROW(tbl_vendas564[#Headers])))), 0, 1)</f>
        <v>0</v>
      </c>
      <c r="J57" cm="1">
        <f t="array" ref="J57">IF(ISERR(FIND("QUANTIDADE_VAZIA", INDEX(tbl_vendas564[Tipo_Erro], ROW()-ROW(tbl_vendas564[#Headers])))), 0, 1)</f>
        <v>0</v>
      </c>
      <c r="K57" cm="1">
        <f t="array" ref="K57">IF(ISERR(FIND("CIDADE_VAZIA", INDEX(tbl_vendas564[Tipo_Erro], ROW()-ROW(tbl_vendas564[#Headers])))), 0, 1)</f>
        <v>0</v>
      </c>
      <c r="L57" s="1" t="s">
        <v>78</v>
      </c>
      <c r="M57" t="s">
        <v>8</v>
      </c>
      <c r="N57" t="s">
        <v>19</v>
      </c>
      <c r="O57">
        <v>18</v>
      </c>
      <c r="P57" s="2"/>
      <c r="Q57" s="3" t="str">
        <f t="shared" si="3"/>
        <v/>
      </c>
      <c r="R57" t="s">
        <v>49</v>
      </c>
    </row>
    <row r="58" spans="1:22" x14ac:dyDescent="0.25">
      <c r="A58">
        <f t="shared" si="4"/>
        <v>56</v>
      </c>
      <c r="B58">
        <v>58</v>
      </c>
      <c r="C58" t="str">
        <f t="shared" si="5"/>
        <v>INCOMPLETA</v>
      </c>
      <c r="D58" t="str">
        <f t="shared" si="6"/>
        <v>ERRO</v>
      </c>
      <c r="E58" t="str">
        <f t="shared" si="2"/>
        <v>QUANTIDADE_NEGATIVA; PRECO_VAZIA</v>
      </c>
      <c r="F58" cm="1">
        <f t="array" ref="F58">IF(ISERR(FIND("PRECO_VAZIA", INDEX(tbl_vendas564[Tipo_Erro], ROW()-ROW(tbl_vendas564[#Headers])))), 0, 1)</f>
        <v>1</v>
      </c>
      <c r="G58" cm="1">
        <f t="array" ref="G58">IF(ISERR(FIND("PRODUTO_VAZIA", INDEX(tbl_vendas564[Tipo_Erro], ROW()-ROW(tbl_vendas564[#Headers])))), 0, 1)</f>
        <v>0</v>
      </c>
      <c r="H58" cm="1">
        <f t="array" ref="H58">IF(ISERR(FIND("CLIENTE_VAZIA", INDEX(tbl_vendas564[Tipo_Erro], ROW()-ROW(tbl_vendas564[#Headers])))), 0, 1)</f>
        <v>0</v>
      </c>
      <c r="I58" cm="1">
        <f t="array" ref="I58">IF(ISERR(FIND("QUANTIDADE_NEGATIVA", INDEX(tbl_vendas564[Tipo_Erro], ROW()-ROW(tbl_vendas564[#Headers])))), 0, 1)</f>
        <v>1</v>
      </c>
      <c r="J58" cm="1">
        <f t="array" ref="J58">IF(ISERR(FIND("QUANTIDADE_VAZIA", INDEX(tbl_vendas564[Tipo_Erro], ROW()-ROW(tbl_vendas564[#Headers])))), 0, 1)</f>
        <v>0</v>
      </c>
      <c r="K58" cm="1">
        <f t="array" ref="K58">IF(ISERR(FIND("CIDADE_VAZIA", INDEX(tbl_vendas564[Tipo_Erro], ROW()-ROW(tbl_vendas564[#Headers])))), 0, 1)</f>
        <v>0</v>
      </c>
      <c r="L58" s="1" t="s">
        <v>79</v>
      </c>
      <c r="M58" t="s">
        <v>26</v>
      </c>
      <c r="N58" t="s">
        <v>23</v>
      </c>
      <c r="O58">
        <v>-3</v>
      </c>
      <c r="P58" s="2">
        <v>-10</v>
      </c>
      <c r="Q58" s="3" t="str">
        <f t="shared" si="3"/>
        <v/>
      </c>
      <c r="R58" t="s">
        <v>49</v>
      </c>
    </row>
    <row r="59" spans="1:22" x14ac:dyDescent="0.25">
      <c r="A59">
        <f t="shared" si="4"/>
        <v>57</v>
      </c>
      <c r="B59">
        <v>60</v>
      </c>
      <c r="C59" t="str">
        <f t="shared" si="5"/>
        <v>INCOMPLETA</v>
      </c>
      <c r="D59" t="str">
        <f t="shared" si="6"/>
        <v>ERRO</v>
      </c>
      <c r="E59" t="str">
        <f t="shared" si="2"/>
        <v>PRECO_VAZIA; CIDADE_VAZIA</v>
      </c>
      <c r="F59" cm="1">
        <f t="array" ref="F59">IF(ISERR(FIND("PRECO_VAZIA", INDEX(tbl_vendas564[Tipo_Erro], ROW()-ROW(tbl_vendas564[#Headers])))), 0, 1)</f>
        <v>1</v>
      </c>
      <c r="G59" cm="1">
        <f t="array" ref="G59">IF(ISERR(FIND("PRODUTO_VAZIA", INDEX(tbl_vendas564[Tipo_Erro], ROW()-ROW(tbl_vendas564[#Headers])))), 0, 1)</f>
        <v>0</v>
      </c>
      <c r="H59" cm="1">
        <f t="array" ref="H59">IF(ISERR(FIND("CLIENTE_VAZIA", INDEX(tbl_vendas564[Tipo_Erro], ROW()-ROW(tbl_vendas564[#Headers])))), 0, 1)</f>
        <v>0</v>
      </c>
      <c r="I59" cm="1">
        <f t="array" ref="I59">IF(ISERR(FIND("QUANTIDADE_NEGATIVA", INDEX(tbl_vendas564[Tipo_Erro], ROW()-ROW(tbl_vendas564[#Headers])))), 0, 1)</f>
        <v>0</v>
      </c>
      <c r="J59" cm="1">
        <f t="array" ref="J59">IF(ISERR(FIND("QUANTIDADE_VAZIA", INDEX(tbl_vendas564[Tipo_Erro], ROW()-ROW(tbl_vendas564[#Headers])))), 0, 1)</f>
        <v>0</v>
      </c>
      <c r="K59" cm="1">
        <f t="array" ref="K59">IF(ISERR(FIND("CIDADE_VAZIA", INDEX(tbl_vendas564[Tipo_Erro], ROW()-ROW(tbl_vendas564[#Headers])))), 0, 1)</f>
        <v>1</v>
      </c>
      <c r="L59" s="1" t="s">
        <v>56</v>
      </c>
      <c r="M59" t="s">
        <v>12</v>
      </c>
      <c r="N59" t="s">
        <v>9</v>
      </c>
      <c r="O59">
        <v>19</v>
      </c>
      <c r="P59" s="2">
        <v>-10</v>
      </c>
      <c r="Q59" s="3" t="str">
        <f t="shared" si="3"/>
        <v/>
      </c>
    </row>
    <row r="60" spans="1:22" x14ac:dyDescent="0.25">
      <c r="A60">
        <f t="shared" si="4"/>
        <v>58</v>
      </c>
      <c r="B60">
        <v>60</v>
      </c>
      <c r="C60" t="str">
        <f t="shared" si="5"/>
        <v>INCOMPLETA</v>
      </c>
      <c r="D60" t="str">
        <f t="shared" si="6"/>
        <v>ERRO</v>
      </c>
      <c r="E60" t="str">
        <f t="shared" si="2"/>
        <v>QUANTIDADE_VAZIA; CLIENTE_VAZIA; PRODUTO_VAZIA</v>
      </c>
      <c r="F60" cm="1">
        <f t="array" ref="F60">IF(ISERR(FIND("PRECO_VAZIA", INDEX(tbl_vendas564[Tipo_Erro], ROW()-ROW(tbl_vendas564[#Headers])))), 0, 1)</f>
        <v>0</v>
      </c>
      <c r="G60" cm="1">
        <f t="array" ref="G60">IF(ISERR(FIND("PRODUTO_VAZIA", INDEX(tbl_vendas564[Tipo_Erro], ROW()-ROW(tbl_vendas564[#Headers])))), 0, 1)</f>
        <v>1</v>
      </c>
      <c r="H60" cm="1">
        <f t="array" ref="H60">IF(ISERR(FIND("CLIENTE_VAZIA", INDEX(tbl_vendas564[Tipo_Erro], ROW()-ROW(tbl_vendas564[#Headers])))), 0, 1)</f>
        <v>1</v>
      </c>
      <c r="I60" cm="1">
        <f t="array" ref="I60">IF(ISERR(FIND("QUANTIDADE_NEGATIVA", INDEX(tbl_vendas564[Tipo_Erro], ROW()-ROW(tbl_vendas564[#Headers])))), 0, 1)</f>
        <v>0</v>
      </c>
      <c r="J60" cm="1">
        <f t="array" ref="J60">IF(ISERR(FIND("QUANTIDADE_VAZIA", INDEX(tbl_vendas564[Tipo_Erro], ROW()-ROW(tbl_vendas564[#Headers])))), 0, 1)</f>
        <v>1</v>
      </c>
      <c r="K60" cm="1">
        <f t="array" ref="K60">IF(ISERR(FIND("CIDADE_VAZIA", INDEX(tbl_vendas564[Tipo_Erro], ROW()-ROW(tbl_vendas564[#Headers])))), 0, 1)</f>
        <v>0</v>
      </c>
      <c r="L60" s="1" t="s">
        <v>72</v>
      </c>
      <c r="P60" s="2">
        <v>30</v>
      </c>
      <c r="Q60" s="3">
        <f t="shared" si="3"/>
        <v>30</v>
      </c>
      <c r="R60" t="s">
        <v>49</v>
      </c>
    </row>
    <row r="61" spans="1:22" x14ac:dyDescent="0.25">
      <c r="A61">
        <f t="shared" si="4"/>
        <v>59</v>
      </c>
      <c r="B61">
        <v>61</v>
      </c>
      <c r="C61" t="str">
        <f t="shared" si="5"/>
        <v>COMPLETA</v>
      </c>
      <c r="D61" t="str">
        <f t="shared" si="6"/>
        <v>ERRO</v>
      </c>
      <c r="E61" t="str">
        <f t="shared" si="2"/>
        <v>QUANTIDADE_NEGATIVA</v>
      </c>
      <c r="F61" cm="1">
        <f t="array" ref="F61">IF(ISERR(FIND("PRECO_VAZIA", INDEX(tbl_vendas564[Tipo_Erro], ROW()-ROW(tbl_vendas564[#Headers])))), 0, 1)</f>
        <v>0</v>
      </c>
      <c r="G61" cm="1">
        <f t="array" ref="G61">IF(ISERR(FIND("PRODUTO_VAZIA", INDEX(tbl_vendas564[Tipo_Erro], ROW()-ROW(tbl_vendas564[#Headers])))), 0, 1)</f>
        <v>0</v>
      </c>
      <c r="H61" cm="1">
        <f t="array" ref="H61">IF(ISERR(FIND("CLIENTE_VAZIA", INDEX(tbl_vendas564[Tipo_Erro], ROW()-ROW(tbl_vendas564[#Headers])))), 0, 1)</f>
        <v>0</v>
      </c>
      <c r="I61" cm="1">
        <f t="array" ref="I61">IF(ISERR(FIND("QUANTIDADE_NEGATIVA", INDEX(tbl_vendas564[Tipo_Erro], ROW()-ROW(tbl_vendas564[#Headers])))), 0, 1)</f>
        <v>1</v>
      </c>
      <c r="J61" cm="1">
        <f t="array" ref="J61">IF(ISERR(FIND("QUANTIDADE_VAZIA", INDEX(tbl_vendas564[Tipo_Erro], ROW()-ROW(tbl_vendas564[#Headers])))), 0, 1)</f>
        <v>0</v>
      </c>
      <c r="K61" cm="1">
        <f t="array" ref="K61">IF(ISERR(FIND("CIDADE_VAZIA", INDEX(tbl_vendas564[Tipo_Erro], ROW()-ROW(tbl_vendas564[#Headers])))), 0, 1)</f>
        <v>0</v>
      </c>
      <c r="L61" s="1" t="s">
        <v>80</v>
      </c>
      <c r="M61" t="s">
        <v>8</v>
      </c>
      <c r="N61" t="s">
        <v>47</v>
      </c>
      <c r="O61">
        <v>-3</v>
      </c>
      <c r="P61" s="2">
        <v>460.58</v>
      </c>
      <c r="Q61" s="3">
        <f t="shared" si="3"/>
        <v>460.58</v>
      </c>
      <c r="R61" t="s">
        <v>49</v>
      </c>
    </row>
    <row r="62" spans="1:22" x14ac:dyDescent="0.25">
      <c r="A62">
        <f t="shared" si="4"/>
        <v>60</v>
      </c>
      <c r="B62">
        <v>62</v>
      </c>
      <c r="C62" t="str">
        <f t="shared" si="5"/>
        <v>INCOMPLETA</v>
      </c>
      <c r="D62" t="str">
        <f t="shared" si="6"/>
        <v>ERRO</v>
      </c>
      <c r="E62" t="str">
        <f t="shared" si="2"/>
        <v>PRECO_VAZIA</v>
      </c>
      <c r="F62" cm="1">
        <f t="array" ref="F62">IF(ISERR(FIND("PRECO_VAZIA", INDEX(tbl_vendas564[Tipo_Erro], ROW()-ROW(tbl_vendas564[#Headers])))), 0, 1)</f>
        <v>1</v>
      </c>
      <c r="G62" cm="1">
        <f t="array" ref="G62">IF(ISERR(FIND("PRODUTO_VAZIA", INDEX(tbl_vendas564[Tipo_Erro], ROW()-ROW(tbl_vendas564[#Headers])))), 0, 1)</f>
        <v>0</v>
      </c>
      <c r="H62" cm="1">
        <f t="array" ref="H62">IF(ISERR(FIND("CLIENTE_VAZIA", INDEX(tbl_vendas564[Tipo_Erro], ROW()-ROW(tbl_vendas564[#Headers])))), 0, 1)</f>
        <v>0</v>
      </c>
      <c r="I62" cm="1">
        <f t="array" ref="I62">IF(ISERR(FIND("QUANTIDADE_NEGATIVA", INDEX(tbl_vendas564[Tipo_Erro], ROW()-ROW(tbl_vendas564[#Headers])))), 0, 1)</f>
        <v>0</v>
      </c>
      <c r="J62" cm="1">
        <f t="array" ref="J62">IF(ISERR(FIND("QUANTIDADE_VAZIA", INDEX(tbl_vendas564[Tipo_Erro], ROW()-ROW(tbl_vendas564[#Headers])))), 0, 1)</f>
        <v>0</v>
      </c>
      <c r="K62" cm="1">
        <f t="array" ref="K62">IF(ISERR(FIND("CIDADE_VAZIA", INDEX(tbl_vendas564[Tipo_Erro], ROW()-ROW(tbl_vendas564[#Headers])))), 0, 1)</f>
        <v>0</v>
      </c>
      <c r="L62" s="1" t="s">
        <v>81</v>
      </c>
      <c r="M62" t="s">
        <v>12</v>
      </c>
      <c r="N62" t="s">
        <v>23</v>
      </c>
      <c r="P62" s="2"/>
      <c r="Q62" s="3" t="str">
        <f t="shared" si="3"/>
        <v/>
      </c>
      <c r="R62" t="s">
        <v>21</v>
      </c>
    </row>
    <row r="63" spans="1:22" x14ac:dyDescent="0.25">
      <c r="A63">
        <f t="shared" si="4"/>
        <v>61</v>
      </c>
      <c r="B63">
        <v>63</v>
      </c>
      <c r="C63" t="str">
        <f t="shared" si="5"/>
        <v>INCOMPLETA</v>
      </c>
      <c r="D63" t="str">
        <f t="shared" si="6"/>
        <v>ERRO</v>
      </c>
      <c r="E63" t="str">
        <f t="shared" si="2"/>
        <v>PRECO_VAZIA</v>
      </c>
      <c r="F63" cm="1">
        <f t="array" ref="F63">IF(ISERR(FIND("PRECO_VAZIA", INDEX(tbl_vendas564[Tipo_Erro], ROW()-ROW(tbl_vendas564[#Headers])))), 0, 1)</f>
        <v>1</v>
      </c>
      <c r="G63" cm="1">
        <f t="array" ref="G63">IF(ISERR(FIND("PRODUTO_VAZIA", INDEX(tbl_vendas564[Tipo_Erro], ROW()-ROW(tbl_vendas564[#Headers])))), 0, 1)</f>
        <v>0</v>
      </c>
      <c r="H63" cm="1">
        <f t="array" ref="H63">IF(ISERR(FIND("CLIENTE_VAZIA", INDEX(tbl_vendas564[Tipo_Erro], ROW()-ROW(tbl_vendas564[#Headers])))), 0, 1)</f>
        <v>0</v>
      </c>
      <c r="I63" cm="1">
        <f t="array" ref="I63">IF(ISERR(FIND("QUANTIDADE_NEGATIVA", INDEX(tbl_vendas564[Tipo_Erro], ROW()-ROW(tbl_vendas564[#Headers])))), 0, 1)</f>
        <v>0</v>
      </c>
      <c r="J63" cm="1">
        <f t="array" ref="J63">IF(ISERR(FIND("QUANTIDADE_VAZIA", INDEX(tbl_vendas564[Tipo_Erro], ROW()-ROW(tbl_vendas564[#Headers])))), 0, 1)</f>
        <v>0</v>
      </c>
      <c r="K63" cm="1">
        <f t="array" ref="K63">IF(ISERR(FIND("CIDADE_VAZIA", INDEX(tbl_vendas564[Tipo_Erro], ROW()-ROW(tbl_vendas564[#Headers])))), 0, 1)</f>
        <v>0</v>
      </c>
      <c r="L63" s="1" t="s">
        <v>82</v>
      </c>
      <c r="M63" t="s">
        <v>26</v>
      </c>
      <c r="N63" t="s">
        <v>31</v>
      </c>
      <c r="O63">
        <v>10</v>
      </c>
      <c r="P63" s="2">
        <v>-10</v>
      </c>
      <c r="Q63" s="3" t="str">
        <f t="shared" si="3"/>
        <v/>
      </c>
      <c r="R63" t="s">
        <v>17</v>
      </c>
    </row>
    <row r="64" spans="1:22" x14ac:dyDescent="0.25">
      <c r="A64">
        <f t="shared" si="4"/>
        <v>62</v>
      </c>
      <c r="B64">
        <v>64</v>
      </c>
      <c r="C64" t="str">
        <f t="shared" si="5"/>
        <v>COMPLETA</v>
      </c>
      <c r="D64" t="str">
        <f t="shared" si="6"/>
        <v>OK</v>
      </c>
      <c r="E64" t="str">
        <f t="shared" si="2"/>
        <v/>
      </c>
      <c r="F64" cm="1">
        <f t="array" ref="F64">IF(ISERR(FIND("PRECO_VAZIA", INDEX(tbl_vendas564[Tipo_Erro], ROW()-ROW(tbl_vendas564[#Headers])))), 0, 1)</f>
        <v>0</v>
      </c>
      <c r="G64" cm="1">
        <f t="array" ref="G64">IF(ISERR(FIND("PRODUTO_VAZIA", INDEX(tbl_vendas564[Tipo_Erro], ROW()-ROW(tbl_vendas564[#Headers])))), 0, 1)</f>
        <v>0</v>
      </c>
      <c r="H64" cm="1">
        <f t="array" ref="H64">IF(ISERR(FIND("CLIENTE_VAZIA", INDEX(tbl_vendas564[Tipo_Erro], ROW()-ROW(tbl_vendas564[#Headers])))), 0, 1)</f>
        <v>0</v>
      </c>
      <c r="I64" cm="1">
        <f t="array" ref="I64">IF(ISERR(FIND("QUANTIDADE_NEGATIVA", INDEX(tbl_vendas564[Tipo_Erro], ROW()-ROW(tbl_vendas564[#Headers])))), 0, 1)</f>
        <v>0</v>
      </c>
      <c r="J64" cm="1">
        <f t="array" ref="J64">IF(ISERR(FIND("QUANTIDADE_VAZIA", INDEX(tbl_vendas564[Tipo_Erro], ROW()-ROW(tbl_vendas564[#Headers])))), 0, 1)</f>
        <v>0</v>
      </c>
      <c r="K64" cm="1">
        <f t="array" ref="K64">IF(ISERR(FIND("CIDADE_VAZIA", INDEX(tbl_vendas564[Tipo_Erro], ROW()-ROW(tbl_vendas564[#Headers])))), 0, 1)</f>
        <v>0</v>
      </c>
      <c r="L64" t="s">
        <v>72</v>
      </c>
      <c r="M64" t="s">
        <v>8</v>
      </c>
      <c r="N64" t="s">
        <v>23</v>
      </c>
      <c r="O64">
        <v>16</v>
      </c>
      <c r="P64">
        <v>377.02</v>
      </c>
      <c r="Q64" s="3">
        <f t="shared" si="3"/>
        <v>377.02</v>
      </c>
      <c r="R64" t="s">
        <v>17</v>
      </c>
    </row>
    <row r="65" spans="1:18" x14ac:dyDescent="0.25">
      <c r="A65">
        <f t="shared" si="4"/>
        <v>63</v>
      </c>
      <c r="B65">
        <v>65</v>
      </c>
      <c r="C65" t="str">
        <f t="shared" si="5"/>
        <v>INCOMPLETA</v>
      </c>
      <c r="D65" t="str">
        <f t="shared" si="6"/>
        <v>ERRO</v>
      </c>
      <c r="E65" t="str">
        <f t="shared" si="2"/>
        <v>PRECO_VAZIA</v>
      </c>
      <c r="F65" cm="1">
        <f t="array" ref="F65">IF(ISERR(FIND("PRECO_VAZIA", INDEX(tbl_vendas564[Tipo_Erro], ROW()-ROW(tbl_vendas564[#Headers])))), 0, 1)</f>
        <v>1</v>
      </c>
      <c r="G65" cm="1">
        <f t="array" ref="G65">IF(ISERR(FIND("PRODUTO_VAZIA", INDEX(tbl_vendas564[Tipo_Erro], ROW()-ROW(tbl_vendas564[#Headers])))), 0, 1)</f>
        <v>0</v>
      </c>
      <c r="H65" cm="1">
        <f t="array" ref="H65">IF(ISERR(FIND("CLIENTE_VAZIA", INDEX(tbl_vendas564[Tipo_Erro], ROW()-ROW(tbl_vendas564[#Headers])))), 0, 1)</f>
        <v>0</v>
      </c>
      <c r="I65" cm="1">
        <f t="array" ref="I65">IF(ISERR(FIND("QUANTIDADE_NEGATIVA", INDEX(tbl_vendas564[Tipo_Erro], ROW()-ROW(tbl_vendas564[#Headers])))), 0, 1)</f>
        <v>0</v>
      </c>
      <c r="J65" cm="1">
        <f t="array" ref="J65">IF(ISERR(FIND("QUANTIDADE_VAZIA", INDEX(tbl_vendas564[Tipo_Erro], ROW()-ROW(tbl_vendas564[#Headers])))), 0, 1)</f>
        <v>0</v>
      </c>
      <c r="K65" cm="1">
        <f t="array" ref="K65">IF(ISERR(FIND("CIDADE_VAZIA", INDEX(tbl_vendas564[Tipo_Erro], ROW()-ROW(tbl_vendas564[#Headers])))), 0, 1)</f>
        <v>0</v>
      </c>
      <c r="L65" s="1" t="s">
        <v>40</v>
      </c>
      <c r="M65" t="s">
        <v>12</v>
      </c>
      <c r="N65" t="s">
        <v>37</v>
      </c>
      <c r="P65" s="2"/>
      <c r="Q65" s="3" t="str">
        <f t="shared" si="3"/>
        <v/>
      </c>
      <c r="R65" t="s">
        <v>13</v>
      </c>
    </row>
    <row r="66" spans="1:18" x14ac:dyDescent="0.25">
      <c r="A66">
        <f t="shared" si="4"/>
        <v>64</v>
      </c>
      <c r="B66">
        <v>66</v>
      </c>
      <c r="C66" t="str">
        <f t="shared" ref="C66:C97" si="7">IF(AND(B66&lt;&gt;"",L66&lt;&gt;"",M66&lt;&gt;"",N66&lt;&gt;"",O66&lt;&gt;"",Q66&lt;&gt;"",R66&lt;&gt;""),"COMPLETA","INCOMPLETA")</f>
        <v>INCOMPLETA</v>
      </c>
      <c r="D66" t="str">
        <f t="shared" ref="D66:D97" si="8">IF(AND(C66="COMPLETA", ISNUMBER(O66), O66&gt;0, ISNUMBER(Q66), Q66&gt;0), "OK", "ERRO")</f>
        <v>ERRO</v>
      </c>
      <c r="E66" t="str">
        <f t="shared" ref="E66:E129" si="9">_xlfn.TEXTJOIN("; ", TRUE,
  IF(M66="", "QUANTIDADE_VAZIA", ""),
  IF(AND(ISNUMBER(O66), O66&lt;0), "QUANTIDADE_NEGATIVA", ""),
  IF(Q66="", "PRECO_VAZIA", ""),
  IF(M66="", "CLIENTE_VAZIA", ""),
  IF(N66="", "PRODUTO_VAZIA", ""),
  IF(R66="", "CIDADE_VAZIA", ""),
  IF(L66="", "DATA_VAZIA", "")
)</f>
        <v>PRECO_VAZIA</v>
      </c>
      <c r="F66" cm="1">
        <f t="array" ref="F66">IF(ISERR(FIND("PRECO_VAZIA", INDEX(tbl_vendas564[Tipo_Erro], ROW()-ROW(tbl_vendas564[#Headers])))), 0, 1)</f>
        <v>1</v>
      </c>
      <c r="G66" cm="1">
        <f t="array" ref="G66">IF(ISERR(FIND("PRODUTO_VAZIA", INDEX(tbl_vendas564[Tipo_Erro], ROW()-ROW(tbl_vendas564[#Headers])))), 0, 1)</f>
        <v>0</v>
      </c>
      <c r="H66" cm="1">
        <f t="array" ref="H66">IF(ISERR(FIND("CLIENTE_VAZIA", INDEX(tbl_vendas564[Tipo_Erro], ROW()-ROW(tbl_vendas564[#Headers])))), 0, 1)</f>
        <v>0</v>
      </c>
      <c r="I66" cm="1">
        <f t="array" ref="I66">IF(ISERR(FIND("QUANTIDADE_NEGATIVA", INDEX(tbl_vendas564[Tipo_Erro], ROW()-ROW(tbl_vendas564[#Headers])))), 0, 1)</f>
        <v>0</v>
      </c>
      <c r="J66" cm="1">
        <f t="array" ref="J66">IF(ISERR(FIND("QUANTIDADE_VAZIA", INDEX(tbl_vendas564[Tipo_Erro], ROW()-ROW(tbl_vendas564[#Headers])))), 0, 1)</f>
        <v>0</v>
      </c>
      <c r="K66" cm="1">
        <f t="array" ref="K66">IF(ISERR(FIND("CIDADE_VAZIA", INDEX(tbl_vendas564[Tipo_Erro], ROW()-ROW(tbl_vendas564[#Headers])))), 0, 1)</f>
        <v>0</v>
      </c>
      <c r="L66" s="1" t="s">
        <v>83</v>
      </c>
      <c r="M66" t="s">
        <v>12</v>
      </c>
      <c r="N66" t="s">
        <v>9</v>
      </c>
      <c r="O66">
        <v>10</v>
      </c>
      <c r="P66" s="2"/>
      <c r="Q66" s="3" t="str">
        <f t="shared" ref="Q66:Q129" si="10">IF(P66&gt;0, P66, "")</f>
        <v/>
      </c>
      <c r="R66" t="s">
        <v>10</v>
      </c>
    </row>
    <row r="67" spans="1:18" x14ac:dyDescent="0.25">
      <c r="A67">
        <f t="shared" ref="A67:A130" si="11">ROW() -2</f>
        <v>65</v>
      </c>
      <c r="B67">
        <v>67</v>
      </c>
      <c r="C67" t="str">
        <f t="shared" si="7"/>
        <v>COMPLETA</v>
      </c>
      <c r="D67" t="str">
        <f t="shared" si="8"/>
        <v>ERRO</v>
      </c>
      <c r="E67" t="str">
        <f t="shared" si="9"/>
        <v/>
      </c>
      <c r="F67" cm="1">
        <f t="array" ref="F67">IF(ISERR(FIND("PRECO_VAZIA", INDEX(tbl_vendas564[Tipo_Erro], ROW()-ROW(tbl_vendas564[#Headers])))), 0, 1)</f>
        <v>0</v>
      </c>
      <c r="G67" cm="1">
        <f t="array" ref="G67">IF(ISERR(FIND("PRODUTO_VAZIA", INDEX(tbl_vendas564[Tipo_Erro], ROW()-ROW(tbl_vendas564[#Headers])))), 0, 1)</f>
        <v>0</v>
      </c>
      <c r="H67" cm="1">
        <f t="array" ref="H67">IF(ISERR(FIND("CLIENTE_VAZIA", INDEX(tbl_vendas564[Tipo_Erro], ROW()-ROW(tbl_vendas564[#Headers])))), 0, 1)</f>
        <v>0</v>
      </c>
      <c r="I67" cm="1">
        <f t="array" ref="I67">IF(ISERR(FIND("QUANTIDADE_NEGATIVA", INDEX(tbl_vendas564[Tipo_Erro], ROW()-ROW(tbl_vendas564[#Headers])))), 0, 1)</f>
        <v>0</v>
      </c>
      <c r="J67" cm="1">
        <f t="array" ref="J67">IF(ISERR(FIND("QUANTIDADE_VAZIA", INDEX(tbl_vendas564[Tipo_Erro], ROW()-ROW(tbl_vendas564[#Headers])))), 0, 1)</f>
        <v>0</v>
      </c>
      <c r="K67" cm="1">
        <f t="array" ref="K67">IF(ISERR(FIND("CIDADE_VAZIA", INDEX(tbl_vendas564[Tipo_Erro], ROW()-ROW(tbl_vendas564[#Headers])))), 0, 1)</f>
        <v>0</v>
      </c>
      <c r="L67" s="1" t="s">
        <v>84</v>
      </c>
      <c r="M67" t="s">
        <v>12</v>
      </c>
      <c r="N67" t="s">
        <v>15</v>
      </c>
      <c r="O67">
        <v>10</v>
      </c>
      <c r="P67" s="2" t="s">
        <v>35</v>
      </c>
      <c r="Q67" s="3" t="str">
        <f t="shared" si="10"/>
        <v>R$ 30</v>
      </c>
      <c r="R67" t="s">
        <v>10</v>
      </c>
    </row>
    <row r="68" spans="1:18" x14ac:dyDescent="0.25">
      <c r="A68">
        <f t="shared" si="11"/>
        <v>66</v>
      </c>
      <c r="B68">
        <v>68</v>
      </c>
      <c r="C68" t="str">
        <f t="shared" si="7"/>
        <v>INCOMPLETA</v>
      </c>
      <c r="D68" t="str">
        <f t="shared" si="8"/>
        <v>ERRO</v>
      </c>
      <c r="E68" t="str">
        <f t="shared" si="9"/>
        <v>CIDADE_VAZIA</v>
      </c>
      <c r="F68" cm="1">
        <f t="array" ref="F68">IF(ISERR(FIND("PRECO_VAZIA", INDEX(tbl_vendas564[Tipo_Erro], ROW()-ROW(tbl_vendas564[#Headers])))), 0, 1)</f>
        <v>0</v>
      </c>
      <c r="G68" cm="1">
        <f t="array" ref="G68">IF(ISERR(FIND("PRODUTO_VAZIA", INDEX(tbl_vendas564[Tipo_Erro], ROW()-ROW(tbl_vendas564[#Headers])))), 0, 1)</f>
        <v>0</v>
      </c>
      <c r="H68" cm="1">
        <f t="array" ref="H68">IF(ISERR(FIND("CLIENTE_VAZIA", INDEX(tbl_vendas564[Tipo_Erro], ROW()-ROW(tbl_vendas564[#Headers])))), 0, 1)</f>
        <v>0</v>
      </c>
      <c r="I68" cm="1">
        <f t="array" ref="I68">IF(ISERR(FIND("QUANTIDADE_NEGATIVA", INDEX(tbl_vendas564[Tipo_Erro], ROW()-ROW(tbl_vendas564[#Headers])))), 0, 1)</f>
        <v>0</v>
      </c>
      <c r="J68" cm="1">
        <f t="array" ref="J68">IF(ISERR(FIND("QUANTIDADE_VAZIA", INDEX(tbl_vendas564[Tipo_Erro], ROW()-ROW(tbl_vendas564[#Headers])))), 0, 1)</f>
        <v>0</v>
      </c>
      <c r="K68" cm="1">
        <f t="array" ref="K68">IF(ISERR(FIND("CIDADE_VAZIA", INDEX(tbl_vendas564[Tipo_Erro], ROW()-ROW(tbl_vendas564[#Headers])))), 0, 1)</f>
        <v>1</v>
      </c>
      <c r="L68" s="1" t="s">
        <v>20</v>
      </c>
      <c r="M68" t="s">
        <v>33</v>
      </c>
      <c r="N68" t="s">
        <v>9</v>
      </c>
      <c r="P68" s="2" t="s">
        <v>35</v>
      </c>
      <c r="Q68" s="3" t="str">
        <f t="shared" si="10"/>
        <v>R$ 30</v>
      </c>
    </row>
    <row r="69" spans="1:18" x14ac:dyDescent="0.25">
      <c r="A69">
        <f t="shared" si="11"/>
        <v>67</v>
      </c>
      <c r="B69">
        <v>69</v>
      </c>
      <c r="C69" t="str">
        <f t="shared" si="7"/>
        <v>INCOMPLETA</v>
      </c>
      <c r="D69" t="str">
        <f t="shared" si="8"/>
        <v>ERRO</v>
      </c>
      <c r="E69" t="str">
        <f t="shared" si="9"/>
        <v>QUANTIDADE_VAZIA; QUANTIDADE_NEGATIVA; CLIENTE_VAZIA</v>
      </c>
      <c r="F69" cm="1">
        <f t="array" ref="F69">IF(ISERR(FIND("PRECO_VAZIA", INDEX(tbl_vendas564[Tipo_Erro], ROW()-ROW(tbl_vendas564[#Headers])))), 0, 1)</f>
        <v>0</v>
      </c>
      <c r="G69" cm="1">
        <f t="array" ref="G69">IF(ISERR(FIND("PRODUTO_VAZIA", INDEX(tbl_vendas564[Tipo_Erro], ROW()-ROW(tbl_vendas564[#Headers])))), 0, 1)</f>
        <v>0</v>
      </c>
      <c r="H69" cm="1">
        <f t="array" ref="H69">IF(ISERR(FIND("CLIENTE_VAZIA", INDEX(tbl_vendas564[Tipo_Erro], ROW()-ROW(tbl_vendas564[#Headers])))), 0, 1)</f>
        <v>1</v>
      </c>
      <c r="I69" cm="1">
        <f t="array" ref="I69">IF(ISERR(FIND("QUANTIDADE_NEGATIVA", INDEX(tbl_vendas564[Tipo_Erro], ROW()-ROW(tbl_vendas564[#Headers])))), 0, 1)</f>
        <v>1</v>
      </c>
      <c r="J69" cm="1">
        <f t="array" ref="J69">IF(ISERR(FIND("QUANTIDADE_VAZIA", INDEX(tbl_vendas564[Tipo_Erro], ROW()-ROW(tbl_vendas564[#Headers])))), 0, 1)</f>
        <v>1</v>
      </c>
      <c r="K69" cm="1">
        <f t="array" ref="K69">IF(ISERR(FIND("CIDADE_VAZIA", INDEX(tbl_vendas564[Tipo_Erro], ROW()-ROW(tbl_vendas564[#Headers])))), 0, 1)</f>
        <v>0</v>
      </c>
      <c r="L69" s="1" t="s">
        <v>85</v>
      </c>
      <c r="N69" t="s">
        <v>37</v>
      </c>
      <c r="O69">
        <v>-3</v>
      </c>
      <c r="P69" s="2">
        <v>334.15</v>
      </c>
      <c r="Q69" s="3">
        <f t="shared" si="10"/>
        <v>334.15</v>
      </c>
      <c r="R69" t="s">
        <v>10</v>
      </c>
    </row>
    <row r="70" spans="1:18" x14ac:dyDescent="0.25">
      <c r="A70">
        <f t="shared" si="11"/>
        <v>68</v>
      </c>
      <c r="B70">
        <v>70</v>
      </c>
      <c r="C70" t="str">
        <f t="shared" si="7"/>
        <v>INCOMPLETA</v>
      </c>
      <c r="D70" t="str">
        <f t="shared" si="8"/>
        <v>ERRO</v>
      </c>
      <c r="E70" t="str">
        <f t="shared" si="9"/>
        <v>QUANTIDADE_NEGATIVA; PRECO_VAZIA; CIDADE_VAZIA</v>
      </c>
      <c r="F70" cm="1">
        <f t="array" ref="F70">IF(ISERR(FIND("PRECO_VAZIA", INDEX(tbl_vendas564[Tipo_Erro], ROW()-ROW(tbl_vendas564[#Headers])))), 0, 1)</f>
        <v>1</v>
      </c>
      <c r="G70" cm="1">
        <f t="array" ref="G70">IF(ISERR(FIND("PRODUTO_VAZIA", INDEX(tbl_vendas564[Tipo_Erro], ROW()-ROW(tbl_vendas564[#Headers])))), 0, 1)</f>
        <v>0</v>
      </c>
      <c r="H70" cm="1">
        <f t="array" ref="H70">IF(ISERR(FIND("CLIENTE_VAZIA", INDEX(tbl_vendas564[Tipo_Erro], ROW()-ROW(tbl_vendas564[#Headers])))), 0, 1)</f>
        <v>0</v>
      </c>
      <c r="I70" cm="1">
        <f t="array" ref="I70">IF(ISERR(FIND("QUANTIDADE_NEGATIVA", INDEX(tbl_vendas564[Tipo_Erro], ROW()-ROW(tbl_vendas564[#Headers])))), 0, 1)</f>
        <v>1</v>
      </c>
      <c r="J70" cm="1">
        <f t="array" ref="J70">IF(ISERR(FIND("QUANTIDADE_VAZIA", INDEX(tbl_vendas564[Tipo_Erro], ROW()-ROW(tbl_vendas564[#Headers])))), 0, 1)</f>
        <v>0</v>
      </c>
      <c r="K70" cm="1">
        <f t="array" ref="K70">IF(ISERR(FIND("CIDADE_VAZIA", INDEX(tbl_vendas564[Tipo_Erro], ROW()-ROW(tbl_vendas564[#Headers])))), 0, 1)</f>
        <v>1</v>
      </c>
      <c r="L70" s="1" t="s">
        <v>86</v>
      </c>
      <c r="M70" t="s">
        <v>33</v>
      </c>
      <c r="N70" t="s">
        <v>31</v>
      </c>
      <c r="O70">
        <v>-3</v>
      </c>
      <c r="P70" s="2">
        <v>-10</v>
      </c>
      <c r="Q70" s="3" t="str">
        <f t="shared" si="10"/>
        <v/>
      </c>
    </row>
    <row r="71" spans="1:18" x14ac:dyDescent="0.25">
      <c r="A71">
        <f t="shared" si="11"/>
        <v>69</v>
      </c>
      <c r="B71">
        <v>71</v>
      </c>
      <c r="C71" t="str">
        <f t="shared" si="7"/>
        <v>INCOMPLETA</v>
      </c>
      <c r="D71" t="str">
        <f t="shared" si="8"/>
        <v>ERRO</v>
      </c>
      <c r="E71" t="str">
        <f t="shared" si="9"/>
        <v>QUANTIDADE_VAZIA; QUANTIDADE_NEGATIVA; CLIENTE_VAZIA</v>
      </c>
      <c r="F71" cm="1">
        <f t="array" ref="F71">IF(ISERR(FIND("PRECO_VAZIA", INDEX(tbl_vendas564[Tipo_Erro], ROW()-ROW(tbl_vendas564[#Headers])))), 0, 1)</f>
        <v>0</v>
      </c>
      <c r="G71" cm="1">
        <f t="array" ref="G71">IF(ISERR(FIND("PRODUTO_VAZIA", INDEX(tbl_vendas564[Tipo_Erro], ROW()-ROW(tbl_vendas564[#Headers])))), 0, 1)</f>
        <v>0</v>
      </c>
      <c r="H71" cm="1">
        <f t="array" ref="H71">IF(ISERR(FIND("CLIENTE_VAZIA", INDEX(tbl_vendas564[Tipo_Erro], ROW()-ROW(tbl_vendas564[#Headers])))), 0, 1)</f>
        <v>1</v>
      </c>
      <c r="I71" cm="1">
        <f t="array" ref="I71">IF(ISERR(FIND("QUANTIDADE_NEGATIVA", INDEX(tbl_vendas564[Tipo_Erro], ROW()-ROW(tbl_vendas564[#Headers])))), 0, 1)</f>
        <v>1</v>
      </c>
      <c r="J71" cm="1">
        <f t="array" ref="J71">IF(ISERR(FIND("QUANTIDADE_VAZIA", INDEX(tbl_vendas564[Tipo_Erro], ROW()-ROW(tbl_vendas564[#Headers])))), 0, 1)</f>
        <v>1</v>
      </c>
      <c r="K71" cm="1">
        <f t="array" ref="K71">IF(ISERR(FIND("CIDADE_VAZIA", INDEX(tbl_vendas564[Tipo_Erro], ROW()-ROW(tbl_vendas564[#Headers])))), 0, 1)</f>
        <v>0</v>
      </c>
      <c r="L71" s="1" t="s">
        <v>87</v>
      </c>
      <c r="N71" t="s">
        <v>53</v>
      </c>
      <c r="O71">
        <v>-3</v>
      </c>
      <c r="P71" s="2" t="s">
        <v>35</v>
      </c>
      <c r="Q71" s="3" t="str">
        <f t="shared" si="10"/>
        <v>R$ 30</v>
      </c>
      <c r="R71" t="s">
        <v>17</v>
      </c>
    </row>
    <row r="72" spans="1:18" x14ac:dyDescent="0.25">
      <c r="A72">
        <f t="shared" si="11"/>
        <v>70</v>
      </c>
      <c r="B72">
        <v>72</v>
      </c>
      <c r="C72" t="str">
        <f t="shared" si="7"/>
        <v>INCOMPLETA</v>
      </c>
      <c r="D72" t="str">
        <f t="shared" si="8"/>
        <v>ERRO</v>
      </c>
      <c r="E72" t="str">
        <f t="shared" si="9"/>
        <v>QUANTIDADE_NEGATIVA; PRECO_VAZIA</v>
      </c>
      <c r="F72" cm="1">
        <f t="array" ref="F72">IF(ISERR(FIND("PRECO_VAZIA", INDEX(tbl_vendas564[Tipo_Erro], ROW()-ROW(tbl_vendas564[#Headers])))), 0, 1)</f>
        <v>1</v>
      </c>
      <c r="G72" cm="1">
        <f t="array" ref="G72">IF(ISERR(FIND("PRODUTO_VAZIA", INDEX(tbl_vendas564[Tipo_Erro], ROW()-ROW(tbl_vendas564[#Headers])))), 0, 1)</f>
        <v>0</v>
      </c>
      <c r="H72" cm="1">
        <f t="array" ref="H72">IF(ISERR(FIND("CLIENTE_VAZIA", INDEX(tbl_vendas564[Tipo_Erro], ROW()-ROW(tbl_vendas564[#Headers])))), 0, 1)</f>
        <v>0</v>
      </c>
      <c r="I72" cm="1">
        <f t="array" ref="I72">IF(ISERR(FIND("QUANTIDADE_NEGATIVA", INDEX(tbl_vendas564[Tipo_Erro], ROW()-ROW(tbl_vendas564[#Headers])))), 0, 1)</f>
        <v>1</v>
      </c>
      <c r="J72" cm="1">
        <f t="array" ref="J72">IF(ISERR(FIND("QUANTIDADE_VAZIA", INDEX(tbl_vendas564[Tipo_Erro], ROW()-ROW(tbl_vendas564[#Headers])))), 0, 1)</f>
        <v>0</v>
      </c>
      <c r="K72" cm="1">
        <f t="array" ref="K72">IF(ISERR(FIND("CIDADE_VAZIA", INDEX(tbl_vendas564[Tipo_Erro], ROW()-ROW(tbl_vendas564[#Headers])))), 0, 1)</f>
        <v>0</v>
      </c>
      <c r="L72" s="1" t="s">
        <v>88</v>
      </c>
      <c r="M72" t="s">
        <v>8</v>
      </c>
      <c r="N72" t="s">
        <v>31</v>
      </c>
      <c r="O72">
        <v>-3</v>
      </c>
      <c r="P72" s="2">
        <v>-10</v>
      </c>
      <c r="Q72" s="3" t="str">
        <f t="shared" si="10"/>
        <v/>
      </c>
      <c r="R72" t="s">
        <v>17</v>
      </c>
    </row>
    <row r="73" spans="1:18" x14ac:dyDescent="0.25">
      <c r="A73">
        <f t="shared" si="11"/>
        <v>71</v>
      </c>
      <c r="B73">
        <v>75</v>
      </c>
      <c r="C73" t="str">
        <f t="shared" si="7"/>
        <v>INCOMPLETA</v>
      </c>
      <c r="D73" t="str">
        <f t="shared" si="8"/>
        <v>ERRO</v>
      </c>
      <c r="E73" t="str">
        <f t="shared" si="9"/>
        <v/>
      </c>
      <c r="F73" cm="1">
        <f t="array" ref="F73">IF(ISERR(FIND("PRECO_VAZIA", INDEX(tbl_vendas564[Tipo_Erro], ROW()-ROW(tbl_vendas564[#Headers])))), 0, 1)</f>
        <v>0</v>
      </c>
      <c r="G73" cm="1">
        <f t="array" ref="G73">IF(ISERR(FIND("PRODUTO_VAZIA", INDEX(tbl_vendas564[Tipo_Erro], ROW()-ROW(tbl_vendas564[#Headers])))), 0, 1)</f>
        <v>0</v>
      </c>
      <c r="H73" cm="1">
        <f t="array" ref="H73">IF(ISERR(FIND("CLIENTE_VAZIA", INDEX(tbl_vendas564[Tipo_Erro], ROW()-ROW(tbl_vendas564[#Headers])))), 0, 1)</f>
        <v>0</v>
      </c>
      <c r="I73" cm="1">
        <f t="array" ref="I73">IF(ISERR(FIND("QUANTIDADE_NEGATIVA", INDEX(tbl_vendas564[Tipo_Erro], ROW()-ROW(tbl_vendas564[#Headers])))), 0, 1)</f>
        <v>0</v>
      </c>
      <c r="J73" cm="1">
        <f t="array" ref="J73">IF(ISERR(FIND("QUANTIDADE_VAZIA", INDEX(tbl_vendas564[Tipo_Erro], ROW()-ROW(tbl_vendas564[#Headers])))), 0, 1)</f>
        <v>0</v>
      </c>
      <c r="K73" cm="1">
        <f t="array" ref="K73">IF(ISERR(FIND("CIDADE_VAZIA", INDEX(tbl_vendas564[Tipo_Erro], ROW()-ROW(tbl_vendas564[#Headers])))), 0, 1)</f>
        <v>0</v>
      </c>
      <c r="L73" s="1" t="s">
        <v>91</v>
      </c>
      <c r="M73" t="s">
        <v>8</v>
      </c>
      <c r="N73" t="s">
        <v>9</v>
      </c>
      <c r="P73" s="2" t="s">
        <v>35</v>
      </c>
      <c r="Q73" s="3" t="str">
        <f t="shared" si="10"/>
        <v>R$ 30</v>
      </c>
      <c r="R73" t="s">
        <v>49</v>
      </c>
    </row>
    <row r="74" spans="1:18" x14ac:dyDescent="0.25">
      <c r="A74">
        <f t="shared" si="11"/>
        <v>72</v>
      </c>
      <c r="B74">
        <v>76</v>
      </c>
      <c r="C74" t="str">
        <f t="shared" si="7"/>
        <v>INCOMPLETA</v>
      </c>
      <c r="D74" t="str">
        <f t="shared" si="8"/>
        <v>ERRO</v>
      </c>
      <c r="E74" t="str">
        <f t="shared" si="9"/>
        <v>PRODUTO_VAZIA</v>
      </c>
      <c r="F74" cm="1">
        <f t="array" ref="F74">IF(ISERR(FIND("PRECO_VAZIA", INDEX(tbl_vendas564[Tipo_Erro], ROW()-ROW(tbl_vendas564[#Headers])))), 0, 1)</f>
        <v>0</v>
      </c>
      <c r="G74" cm="1">
        <f t="array" ref="G74">IF(ISERR(FIND("PRODUTO_VAZIA", INDEX(tbl_vendas564[Tipo_Erro], ROW()-ROW(tbl_vendas564[#Headers])))), 0, 1)</f>
        <v>1</v>
      </c>
      <c r="H74" cm="1">
        <f t="array" ref="H74">IF(ISERR(FIND("CLIENTE_VAZIA", INDEX(tbl_vendas564[Tipo_Erro], ROW()-ROW(tbl_vendas564[#Headers])))), 0, 1)</f>
        <v>0</v>
      </c>
      <c r="I74" cm="1">
        <f t="array" ref="I74">IF(ISERR(FIND("QUANTIDADE_NEGATIVA", INDEX(tbl_vendas564[Tipo_Erro], ROW()-ROW(tbl_vendas564[#Headers])))), 0, 1)</f>
        <v>0</v>
      </c>
      <c r="J74" cm="1">
        <f t="array" ref="J74">IF(ISERR(FIND("QUANTIDADE_VAZIA", INDEX(tbl_vendas564[Tipo_Erro], ROW()-ROW(tbl_vendas564[#Headers])))), 0, 1)</f>
        <v>0</v>
      </c>
      <c r="K74" cm="1">
        <f t="array" ref="K74">IF(ISERR(FIND("CIDADE_VAZIA", INDEX(tbl_vendas564[Tipo_Erro], ROW()-ROW(tbl_vendas564[#Headers])))), 0, 1)</f>
        <v>0</v>
      </c>
      <c r="L74" s="1" t="s">
        <v>92</v>
      </c>
      <c r="M74" t="s">
        <v>33</v>
      </c>
      <c r="O74">
        <v>10</v>
      </c>
      <c r="P74" s="2" t="s">
        <v>35</v>
      </c>
      <c r="Q74" s="3" t="str">
        <f t="shared" si="10"/>
        <v>R$ 30</v>
      </c>
      <c r="R74" t="s">
        <v>17</v>
      </c>
    </row>
    <row r="75" spans="1:18" x14ac:dyDescent="0.25">
      <c r="A75">
        <f t="shared" si="11"/>
        <v>73</v>
      </c>
      <c r="B75">
        <v>77</v>
      </c>
      <c r="C75" t="str">
        <f t="shared" si="7"/>
        <v>INCOMPLETA</v>
      </c>
      <c r="D75" t="str">
        <f t="shared" si="8"/>
        <v>ERRO</v>
      </c>
      <c r="E75" t="str">
        <f t="shared" si="9"/>
        <v>PRECO_VAZIA</v>
      </c>
      <c r="F75" cm="1">
        <f t="array" ref="F75">IF(ISERR(FIND("PRECO_VAZIA", INDEX(tbl_vendas564[Tipo_Erro], ROW()-ROW(tbl_vendas564[#Headers])))), 0, 1)</f>
        <v>1</v>
      </c>
      <c r="G75" cm="1">
        <f t="array" ref="G75">IF(ISERR(FIND("PRODUTO_VAZIA", INDEX(tbl_vendas564[Tipo_Erro], ROW()-ROW(tbl_vendas564[#Headers])))), 0, 1)</f>
        <v>0</v>
      </c>
      <c r="H75" cm="1">
        <f t="array" ref="H75">IF(ISERR(FIND("CLIENTE_VAZIA", INDEX(tbl_vendas564[Tipo_Erro], ROW()-ROW(tbl_vendas564[#Headers])))), 0, 1)</f>
        <v>0</v>
      </c>
      <c r="I75" cm="1">
        <f t="array" ref="I75">IF(ISERR(FIND("QUANTIDADE_NEGATIVA", INDEX(tbl_vendas564[Tipo_Erro], ROW()-ROW(tbl_vendas564[#Headers])))), 0, 1)</f>
        <v>0</v>
      </c>
      <c r="J75" cm="1">
        <f t="array" ref="J75">IF(ISERR(FIND("QUANTIDADE_VAZIA", INDEX(tbl_vendas564[Tipo_Erro], ROW()-ROW(tbl_vendas564[#Headers])))), 0, 1)</f>
        <v>0</v>
      </c>
      <c r="K75" cm="1">
        <f t="array" ref="K75">IF(ISERR(FIND("CIDADE_VAZIA", INDEX(tbl_vendas564[Tipo_Erro], ROW()-ROW(tbl_vendas564[#Headers])))), 0, 1)</f>
        <v>0</v>
      </c>
      <c r="L75" s="1" t="s">
        <v>85</v>
      </c>
      <c r="M75" t="s">
        <v>26</v>
      </c>
      <c r="N75" t="s">
        <v>19</v>
      </c>
      <c r="P75" s="2">
        <v>-10</v>
      </c>
      <c r="Q75" s="3" t="str">
        <f t="shared" si="10"/>
        <v/>
      </c>
      <c r="R75" t="s">
        <v>17</v>
      </c>
    </row>
    <row r="76" spans="1:18" x14ac:dyDescent="0.25">
      <c r="A76">
        <f t="shared" si="11"/>
        <v>74</v>
      </c>
      <c r="B76">
        <v>78</v>
      </c>
      <c r="C76" t="str">
        <f t="shared" si="7"/>
        <v>INCOMPLETA</v>
      </c>
      <c r="D76" t="str">
        <f t="shared" si="8"/>
        <v>ERRO</v>
      </c>
      <c r="E76" t="str">
        <f t="shared" si="9"/>
        <v>QUANTIDADE_VAZIA; CLIENTE_VAZIA</v>
      </c>
      <c r="F76" cm="1">
        <f t="array" ref="F76">IF(ISERR(FIND("PRECO_VAZIA", INDEX(tbl_vendas564[Tipo_Erro], ROW()-ROW(tbl_vendas564[#Headers])))), 0, 1)</f>
        <v>0</v>
      </c>
      <c r="G76" cm="1">
        <f t="array" ref="G76">IF(ISERR(FIND("PRODUTO_VAZIA", INDEX(tbl_vendas564[Tipo_Erro], ROW()-ROW(tbl_vendas564[#Headers])))), 0, 1)</f>
        <v>0</v>
      </c>
      <c r="H76" cm="1">
        <f t="array" ref="H76">IF(ISERR(FIND("CLIENTE_VAZIA", INDEX(tbl_vendas564[Tipo_Erro], ROW()-ROW(tbl_vendas564[#Headers])))), 0, 1)</f>
        <v>1</v>
      </c>
      <c r="I76" cm="1">
        <f t="array" ref="I76">IF(ISERR(FIND("QUANTIDADE_NEGATIVA", INDEX(tbl_vendas564[Tipo_Erro], ROW()-ROW(tbl_vendas564[#Headers])))), 0, 1)</f>
        <v>0</v>
      </c>
      <c r="J76" cm="1">
        <f t="array" ref="J76">IF(ISERR(FIND("QUANTIDADE_VAZIA", INDEX(tbl_vendas564[Tipo_Erro], ROW()-ROW(tbl_vendas564[#Headers])))), 0, 1)</f>
        <v>1</v>
      </c>
      <c r="K76" cm="1">
        <f t="array" ref="K76">IF(ISERR(FIND("CIDADE_VAZIA", INDEX(tbl_vendas564[Tipo_Erro], ROW()-ROW(tbl_vendas564[#Headers])))), 0, 1)</f>
        <v>0</v>
      </c>
      <c r="L76" s="1" t="s">
        <v>93</v>
      </c>
      <c r="N76" t="s">
        <v>53</v>
      </c>
      <c r="P76" s="2" t="s">
        <v>35</v>
      </c>
      <c r="Q76" s="3" t="str">
        <f t="shared" si="10"/>
        <v>R$ 30</v>
      </c>
      <c r="R76" t="s">
        <v>13</v>
      </c>
    </row>
    <row r="77" spans="1:18" x14ac:dyDescent="0.25">
      <c r="A77">
        <f t="shared" si="11"/>
        <v>75</v>
      </c>
      <c r="B77">
        <v>79</v>
      </c>
      <c r="C77" t="str">
        <f t="shared" si="7"/>
        <v>INCOMPLETA</v>
      </c>
      <c r="D77" t="str">
        <f t="shared" si="8"/>
        <v>ERRO</v>
      </c>
      <c r="E77" t="str">
        <f t="shared" si="9"/>
        <v>QUANTIDADE_VAZIA; CLIENTE_VAZIA; CIDADE_VAZIA</v>
      </c>
      <c r="F77" cm="1">
        <f t="array" ref="F77">IF(ISERR(FIND("PRECO_VAZIA", INDEX(tbl_vendas564[Tipo_Erro], ROW()-ROW(tbl_vendas564[#Headers])))), 0, 1)</f>
        <v>0</v>
      </c>
      <c r="G77" cm="1">
        <f t="array" ref="G77">IF(ISERR(FIND("PRODUTO_VAZIA", INDEX(tbl_vendas564[Tipo_Erro], ROW()-ROW(tbl_vendas564[#Headers])))), 0, 1)</f>
        <v>0</v>
      </c>
      <c r="H77" cm="1">
        <f t="array" ref="H77">IF(ISERR(FIND("CLIENTE_VAZIA", INDEX(tbl_vendas564[Tipo_Erro], ROW()-ROW(tbl_vendas564[#Headers])))), 0, 1)</f>
        <v>1</v>
      </c>
      <c r="I77" cm="1">
        <f t="array" ref="I77">IF(ISERR(FIND("QUANTIDADE_NEGATIVA", INDEX(tbl_vendas564[Tipo_Erro], ROW()-ROW(tbl_vendas564[#Headers])))), 0, 1)</f>
        <v>0</v>
      </c>
      <c r="J77" cm="1">
        <f t="array" ref="J77">IF(ISERR(FIND("QUANTIDADE_VAZIA", INDEX(tbl_vendas564[Tipo_Erro], ROW()-ROW(tbl_vendas564[#Headers])))), 0, 1)</f>
        <v>1</v>
      </c>
      <c r="K77" cm="1">
        <f t="array" ref="K77">IF(ISERR(FIND("CIDADE_VAZIA", INDEX(tbl_vendas564[Tipo_Erro], ROW()-ROW(tbl_vendas564[#Headers])))), 0, 1)</f>
        <v>1</v>
      </c>
      <c r="L77" s="1" t="s">
        <v>94</v>
      </c>
      <c r="N77" t="s">
        <v>15</v>
      </c>
      <c r="O77">
        <v>9</v>
      </c>
      <c r="P77" s="2" t="s">
        <v>35</v>
      </c>
      <c r="Q77" s="3" t="str">
        <f t="shared" si="10"/>
        <v>R$ 30</v>
      </c>
    </row>
    <row r="78" spans="1:18" x14ac:dyDescent="0.25">
      <c r="A78">
        <f t="shared" si="11"/>
        <v>76</v>
      </c>
      <c r="B78">
        <v>80</v>
      </c>
      <c r="C78" t="str">
        <f t="shared" si="7"/>
        <v>INCOMPLETA</v>
      </c>
      <c r="D78" t="str">
        <f t="shared" si="8"/>
        <v>ERRO</v>
      </c>
      <c r="E78" t="str">
        <f t="shared" si="9"/>
        <v>PRECO_VAZIA</v>
      </c>
      <c r="F78" cm="1">
        <f t="array" ref="F78">IF(ISERR(FIND("PRECO_VAZIA", INDEX(tbl_vendas564[Tipo_Erro], ROW()-ROW(tbl_vendas564[#Headers])))), 0, 1)</f>
        <v>1</v>
      </c>
      <c r="G78" cm="1">
        <f t="array" ref="G78">IF(ISERR(FIND("PRODUTO_VAZIA", INDEX(tbl_vendas564[Tipo_Erro], ROW()-ROW(tbl_vendas564[#Headers])))), 0, 1)</f>
        <v>0</v>
      </c>
      <c r="H78" cm="1">
        <f t="array" ref="H78">IF(ISERR(FIND("CLIENTE_VAZIA", INDEX(tbl_vendas564[Tipo_Erro], ROW()-ROW(tbl_vendas564[#Headers])))), 0, 1)</f>
        <v>0</v>
      </c>
      <c r="I78" cm="1">
        <f t="array" ref="I78">IF(ISERR(FIND("QUANTIDADE_NEGATIVA", INDEX(tbl_vendas564[Tipo_Erro], ROW()-ROW(tbl_vendas564[#Headers])))), 0, 1)</f>
        <v>0</v>
      </c>
      <c r="J78" cm="1">
        <f t="array" ref="J78">IF(ISERR(FIND("QUANTIDADE_VAZIA", INDEX(tbl_vendas564[Tipo_Erro], ROW()-ROW(tbl_vendas564[#Headers])))), 0, 1)</f>
        <v>0</v>
      </c>
      <c r="K78" cm="1">
        <f t="array" ref="K78">IF(ISERR(FIND("CIDADE_VAZIA", INDEX(tbl_vendas564[Tipo_Erro], ROW()-ROW(tbl_vendas564[#Headers])))), 0, 1)</f>
        <v>0</v>
      </c>
      <c r="L78" s="1" t="s">
        <v>38</v>
      </c>
      <c r="M78" t="s">
        <v>33</v>
      </c>
      <c r="N78" t="s">
        <v>23</v>
      </c>
      <c r="O78">
        <v>10</v>
      </c>
      <c r="P78" s="2">
        <v>-10</v>
      </c>
      <c r="Q78" s="3" t="str">
        <f t="shared" si="10"/>
        <v/>
      </c>
      <c r="R78" t="s">
        <v>17</v>
      </c>
    </row>
    <row r="79" spans="1:18" x14ac:dyDescent="0.25">
      <c r="A79">
        <f t="shared" si="11"/>
        <v>77</v>
      </c>
      <c r="B79">
        <v>81</v>
      </c>
      <c r="C79" t="str">
        <f t="shared" si="7"/>
        <v>COMPLETA</v>
      </c>
      <c r="D79" t="str">
        <f t="shared" si="8"/>
        <v>OK</v>
      </c>
      <c r="E79" t="str">
        <f t="shared" si="9"/>
        <v/>
      </c>
      <c r="F79" cm="1">
        <f t="array" ref="F79">IF(ISERR(FIND("PRECO_VAZIA", INDEX(tbl_vendas564[Tipo_Erro], ROW()-ROW(tbl_vendas564[#Headers])))), 0, 1)</f>
        <v>0</v>
      </c>
      <c r="G79" cm="1">
        <f t="array" ref="G79">IF(ISERR(FIND("PRODUTO_VAZIA", INDEX(tbl_vendas564[Tipo_Erro], ROW()-ROW(tbl_vendas564[#Headers])))), 0, 1)</f>
        <v>0</v>
      </c>
      <c r="H79" cm="1">
        <f t="array" ref="H79">IF(ISERR(FIND("CLIENTE_VAZIA", INDEX(tbl_vendas564[Tipo_Erro], ROW()-ROW(tbl_vendas564[#Headers])))), 0, 1)</f>
        <v>0</v>
      </c>
      <c r="I79" cm="1">
        <f t="array" ref="I79">IF(ISERR(FIND("QUANTIDADE_NEGATIVA", INDEX(tbl_vendas564[Tipo_Erro], ROW()-ROW(tbl_vendas564[#Headers])))), 0, 1)</f>
        <v>0</v>
      </c>
      <c r="J79" cm="1">
        <f t="array" ref="J79">IF(ISERR(FIND("QUANTIDADE_VAZIA", INDEX(tbl_vendas564[Tipo_Erro], ROW()-ROW(tbl_vendas564[#Headers])))), 0, 1)</f>
        <v>0</v>
      </c>
      <c r="K79" cm="1">
        <f t="array" ref="K79">IF(ISERR(FIND("CIDADE_VAZIA", INDEX(tbl_vendas564[Tipo_Erro], ROW()-ROW(tbl_vendas564[#Headers])))), 0, 1)</f>
        <v>0</v>
      </c>
      <c r="L79" t="s">
        <v>95</v>
      </c>
      <c r="M79" t="s">
        <v>8</v>
      </c>
      <c r="N79" t="s">
        <v>31</v>
      </c>
      <c r="O79">
        <v>4</v>
      </c>
      <c r="P79">
        <v>206.35</v>
      </c>
      <c r="Q79" s="3">
        <f t="shared" si="10"/>
        <v>206.35</v>
      </c>
      <c r="R79" t="s">
        <v>10</v>
      </c>
    </row>
    <row r="80" spans="1:18" x14ac:dyDescent="0.25">
      <c r="A80">
        <f t="shared" si="11"/>
        <v>78</v>
      </c>
      <c r="B80">
        <v>82</v>
      </c>
      <c r="C80" t="str">
        <f t="shared" si="7"/>
        <v>INCOMPLETA</v>
      </c>
      <c r="D80" t="str">
        <f t="shared" si="8"/>
        <v>ERRO</v>
      </c>
      <c r="E80" t="str">
        <f t="shared" si="9"/>
        <v>PRECO_VAZIA</v>
      </c>
      <c r="F80" cm="1">
        <f t="array" ref="F80">IF(ISERR(FIND("PRECO_VAZIA", INDEX(tbl_vendas564[Tipo_Erro], ROW()-ROW(tbl_vendas564[#Headers])))), 0, 1)</f>
        <v>1</v>
      </c>
      <c r="G80" cm="1">
        <f t="array" ref="G80">IF(ISERR(FIND("PRODUTO_VAZIA", INDEX(tbl_vendas564[Tipo_Erro], ROW()-ROW(tbl_vendas564[#Headers])))), 0, 1)</f>
        <v>0</v>
      </c>
      <c r="H80" cm="1">
        <f t="array" ref="H80">IF(ISERR(FIND("CLIENTE_VAZIA", INDEX(tbl_vendas564[Tipo_Erro], ROW()-ROW(tbl_vendas564[#Headers])))), 0, 1)</f>
        <v>0</v>
      </c>
      <c r="I80" cm="1">
        <f t="array" ref="I80">IF(ISERR(FIND("QUANTIDADE_NEGATIVA", INDEX(tbl_vendas564[Tipo_Erro], ROW()-ROW(tbl_vendas564[#Headers])))), 0, 1)</f>
        <v>0</v>
      </c>
      <c r="J80" cm="1">
        <f t="array" ref="J80">IF(ISERR(FIND("QUANTIDADE_VAZIA", INDEX(tbl_vendas564[Tipo_Erro], ROW()-ROW(tbl_vendas564[#Headers])))), 0, 1)</f>
        <v>0</v>
      </c>
      <c r="K80" cm="1">
        <f t="array" ref="K80">IF(ISERR(FIND("CIDADE_VAZIA", INDEX(tbl_vendas564[Tipo_Erro], ROW()-ROW(tbl_vendas564[#Headers])))), 0, 1)</f>
        <v>0</v>
      </c>
      <c r="L80" s="1" t="s">
        <v>95</v>
      </c>
      <c r="M80" t="s">
        <v>26</v>
      </c>
      <c r="N80" t="s">
        <v>15</v>
      </c>
      <c r="O80">
        <v>10</v>
      </c>
      <c r="P80" s="2"/>
      <c r="Q80" s="3" t="str">
        <f t="shared" si="10"/>
        <v/>
      </c>
      <c r="R80" t="s">
        <v>21</v>
      </c>
    </row>
    <row r="81" spans="1:18" x14ac:dyDescent="0.25">
      <c r="A81">
        <f t="shared" si="11"/>
        <v>79</v>
      </c>
      <c r="B81">
        <v>83</v>
      </c>
      <c r="C81" t="str">
        <f t="shared" si="7"/>
        <v>COMPLETA</v>
      </c>
      <c r="D81" t="str">
        <f t="shared" si="8"/>
        <v>ERRO</v>
      </c>
      <c r="E81" t="str">
        <f t="shared" si="9"/>
        <v/>
      </c>
      <c r="F81" cm="1">
        <f t="array" ref="F81">IF(ISERR(FIND("PRECO_VAZIA", INDEX(tbl_vendas564[Tipo_Erro], ROW()-ROW(tbl_vendas564[#Headers])))), 0, 1)</f>
        <v>0</v>
      </c>
      <c r="G81" cm="1">
        <f t="array" ref="G81">IF(ISERR(FIND("PRODUTO_VAZIA", INDEX(tbl_vendas564[Tipo_Erro], ROW()-ROW(tbl_vendas564[#Headers])))), 0, 1)</f>
        <v>0</v>
      </c>
      <c r="H81" cm="1">
        <f t="array" ref="H81">IF(ISERR(FIND("CLIENTE_VAZIA", INDEX(tbl_vendas564[Tipo_Erro], ROW()-ROW(tbl_vendas564[#Headers])))), 0, 1)</f>
        <v>0</v>
      </c>
      <c r="I81" cm="1">
        <f t="array" ref="I81">IF(ISERR(FIND("QUANTIDADE_NEGATIVA", INDEX(tbl_vendas564[Tipo_Erro], ROW()-ROW(tbl_vendas564[#Headers])))), 0, 1)</f>
        <v>0</v>
      </c>
      <c r="J81" cm="1">
        <f t="array" ref="J81">IF(ISERR(FIND("QUANTIDADE_VAZIA", INDEX(tbl_vendas564[Tipo_Erro], ROW()-ROW(tbl_vendas564[#Headers])))), 0, 1)</f>
        <v>0</v>
      </c>
      <c r="K81" cm="1">
        <f t="array" ref="K81">IF(ISERR(FIND("CIDADE_VAZIA", INDEX(tbl_vendas564[Tipo_Erro], ROW()-ROW(tbl_vendas564[#Headers])))), 0, 1)</f>
        <v>0</v>
      </c>
      <c r="L81" s="1" t="s">
        <v>89</v>
      </c>
      <c r="M81" t="s">
        <v>33</v>
      </c>
      <c r="N81" t="s">
        <v>9</v>
      </c>
      <c r="O81">
        <v>10</v>
      </c>
      <c r="P81" s="2" t="s">
        <v>35</v>
      </c>
      <c r="Q81" s="3" t="str">
        <f t="shared" si="10"/>
        <v>R$ 30</v>
      </c>
      <c r="R81" t="s">
        <v>10</v>
      </c>
    </row>
    <row r="82" spans="1:18" x14ac:dyDescent="0.25">
      <c r="A82">
        <f t="shared" si="11"/>
        <v>80</v>
      </c>
      <c r="B82">
        <v>83</v>
      </c>
      <c r="C82" t="str">
        <f t="shared" si="7"/>
        <v>INCOMPLETA</v>
      </c>
      <c r="D82" t="str">
        <f t="shared" si="8"/>
        <v>ERRO</v>
      </c>
      <c r="E82" t="str">
        <f t="shared" si="9"/>
        <v>QUANTIDADE_VAZIA; QUANTIDADE_NEGATIVA; PRECO_VAZIA; CLIENTE_VAZIA</v>
      </c>
      <c r="F82" cm="1">
        <f t="array" ref="F82">IF(ISERR(FIND("PRECO_VAZIA", INDEX(tbl_vendas564[Tipo_Erro], ROW()-ROW(tbl_vendas564[#Headers])))), 0, 1)</f>
        <v>1</v>
      </c>
      <c r="G82" cm="1">
        <f t="array" ref="G82">IF(ISERR(FIND("PRODUTO_VAZIA", INDEX(tbl_vendas564[Tipo_Erro], ROW()-ROW(tbl_vendas564[#Headers])))), 0, 1)</f>
        <v>0</v>
      </c>
      <c r="H82" cm="1">
        <f t="array" ref="H82">IF(ISERR(FIND("CLIENTE_VAZIA", INDEX(tbl_vendas564[Tipo_Erro], ROW()-ROW(tbl_vendas564[#Headers])))), 0, 1)</f>
        <v>1</v>
      </c>
      <c r="I82" cm="1">
        <f t="array" ref="I82">IF(ISERR(FIND("QUANTIDADE_NEGATIVA", INDEX(tbl_vendas564[Tipo_Erro], ROW()-ROW(tbl_vendas564[#Headers])))), 0, 1)</f>
        <v>1</v>
      </c>
      <c r="J82" cm="1">
        <f t="array" ref="J82">IF(ISERR(FIND("QUANTIDADE_VAZIA", INDEX(tbl_vendas564[Tipo_Erro], ROW()-ROW(tbl_vendas564[#Headers])))), 0, 1)</f>
        <v>1</v>
      </c>
      <c r="K82" cm="1">
        <f t="array" ref="K82">IF(ISERR(FIND("CIDADE_VAZIA", INDEX(tbl_vendas564[Tipo_Erro], ROW()-ROW(tbl_vendas564[#Headers])))), 0, 1)</f>
        <v>0</v>
      </c>
      <c r="L82" s="1" t="s">
        <v>96</v>
      </c>
      <c r="N82" t="s">
        <v>9</v>
      </c>
      <c r="O82">
        <v>-3</v>
      </c>
      <c r="P82" s="2">
        <v>-10</v>
      </c>
      <c r="Q82" s="3" t="str">
        <f t="shared" si="10"/>
        <v/>
      </c>
      <c r="R82" t="s">
        <v>17</v>
      </c>
    </row>
    <row r="83" spans="1:18" x14ac:dyDescent="0.25">
      <c r="A83">
        <f t="shared" si="11"/>
        <v>81</v>
      </c>
      <c r="B83">
        <v>84</v>
      </c>
      <c r="C83" t="str">
        <f t="shared" si="7"/>
        <v>INCOMPLETA</v>
      </c>
      <c r="D83" t="str">
        <f t="shared" si="8"/>
        <v>ERRO</v>
      </c>
      <c r="E83" t="str">
        <f t="shared" si="9"/>
        <v>PRECO_VAZIA; CIDADE_VAZIA</v>
      </c>
      <c r="F83" cm="1">
        <f t="array" ref="F83">IF(ISERR(FIND("PRECO_VAZIA", INDEX(tbl_vendas564[Tipo_Erro], ROW()-ROW(tbl_vendas564[#Headers])))), 0, 1)</f>
        <v>1</v>
      </c>
      <c r="G83" cm="1">
        <f t="array" ref="G83">IF(ISERR(FIND("PRODUTO_VAZIA", INDEX(tbl_vendas564[Tipo_Erro], ROW()-ROW(tbl_vendas564[#Headers])))), 0, 1)</f>
        <v>0</v>
      </c>
      <c r="H83" cm="1">
        <f t="array" ref="H83">IF(ISERR(FIND("CLIENTE_VAZIA", INDEX(tbl_vendas564[Tipo_Erro], ROW()-ROW(tbl_vendas564[#Headers])))), 0, 1)</f>
        <v>0</v>
      </c>
      <c r="I83" cm="1">
        <f t="array" ref="I83">IF(ISERR(FIND("QUANTIDADE_NEGATIVA", INDEX(tbl_vendas564[Tipo_Erro], ROW()-ROW(tbl_vendas564[#Headers])))), 0, 1)</f>
        <v>0</v>
      </c>
      <c r="J83" cm="1">
        <f t="array" ref="J83">IF(ISERR(FIND("QUANTIDADE_VAZIA", INDEX(tbl_vendas564[Tipo_Erro], ROW()-ROW(tbl_vendas564[#Headers])))), 0, 1)</f>
        <v>0</v>
      </c>
      <c r="K83" cm="1">
        <f t="array" ref="K83">IF(ISERR(FIND("CIDADE_VAZIA", INDEX(tbl_vendas564[Tipo_Erro], ROW()-ROW(tbl_vendas564[#Headers])))), 0, 1)</f>
        <v>1</v>
      </c>
      <c r="L83" s="1" t="s">
        <v>97</v>
      </c>
      <c r="M83" t="s">
        <v>8</v>
      </c>
      <c r="N83" t="s">
        <v>37</v>
      </c>
      <c r="O83">
        <v>20</v>
      </c>
      <c r="P83" s="2"/>
      <c r="Q83" s="3" t="str">
        <f t="shared" si="10"/>
        <v/>
      </c>
    </row>
    <row r="84" spans="1:18" x14ac:dyDescent="0.25">
      <c r="A84">
        <f t="shared" si="11"/>
        <v>82</v>
      </c>
      <c r="B84">
        <v>85</v>
      </c>
      <c r="C84" t="str">
        <f t="shared" si="7"/>
        <v>INCOMPLETA</v>
      </c>
      <c r="D84" t="str">
        <f t="shared" si="8"/>
        <v>ERRO</v>
      </c>
      <c r="E84" t="str">
        <f t="shared" si="9"/>
        <v>QUANTIDADE_NEGATIVA; PRECO_VAZIA</v>
      </c>
      <c r="F84" cm="1">
        <f t="array" ref="F84">IF(ISERR(FIND("PRECO_VAZIA", INDEX(tbl_vendas564[Tipo_Erro], ROW()-ROW(tbl_vendas564[#Headers])))), 0, 1)</f>
        <v>1</v>
      </c>
      <c r="G84" cm="1">
        <f t="array" ref="G84">IF(ISERR(FIND("PRODUTO_VAZIA", INDEX(tbl_vendas564[Tipo_Erro], ROW()-ROW(tbl_vendas564[#Headers])))), 0, 1)</f>
        <v>0</v>
      </c>
      <c r="H84" cm="1">
        <f t="array" ref="H84">IF(ISERR(FIND("CLIENTE_VAZIA", INDEX(tbl_vendas564[Tipo_Erro], ROW()-ROW(tbl_vendas564[#Headers])))), 0, 1)</f>
        <v>0</v>
      </c>
      <c r="I84" cm="1">
        <f t="array" ref="I84">IF(ISERR(FIND("QUANTIDADE_NEGATIVA", INDEX(tbl_vendas564[Tipo_Erro], ROW()-ROW(tbl_vendas564[#Headers])))), 0, 1)</f>
        <v>1</v>
      </c>
      <c r="J84" cm="1">
        <f t="array" ref="J84">IF(ISERR(FIND("QUANTIDADE_VAZIA", INDEX(tbl_vendas564[Tipo_Erro], ROW()-ROW(tbl_vendas564[#Headers])))), 0, 1)</f>
        <v>0</v>
      </c>
      <c r="K84" cm="1">
        <f t="array" ref="K84">IF(ISERR(FIND("CIDADE_VAZIA", INDEX(tbl_vendas564[Tipo_Erro], ROW()-ROW(tbl_vendas564[#Headers])))), 0, 1)</f>
        <v>0</v>
      </c>
      <c r="L84" s="1" t="s">
        <v>22</v>
      </c>
      <c r="M84" t="s">
        <v>26</v>
      </c>
      <c r="N84" t="s">
        <v>53</v>
      </c>
      <c r="O84">
        <v>-3</v>
      </c>
      <c r="P84" s="2">
        <v>-10</v>
      </c>
      <c r="Q84" s="3" t="str">
        <f t="shared" si="10"/>
        <v/>
      </c>
      <c r="R84" t="s">
        <v>10</v>
      </c>
    </row>
    <row r="85" spans="1:18" x14ac:dyDescent="0.25">
      <c r="A85">
        <f t="shared" si="11"/>
        <v>83</v>
      </c>
      <c r="B85">
        <v>85</v>
      </c>
      <c r="C85" t="str">
        <f t="shared" si="7"/>
        <v>INCOMPLETA</v>
      </c>
      <c r="D85" t="str">
        <f t="shared" si="8"/>
        <v>ERRO</v>
      </c>
      <c r="E85" t="str">
        <f t="shared" si="9"/>
        <v>PRECO_VAZIA</v>
      </c>
      <c r="F85" cm="1">
        <f t="array" ref="F85">IF(ISERR(FIND("PRECO_VAZIA", INDEX(tbl_vendas564[Tipo_Erro], ROW()-ROW(tbl_vendas564[#Headers])))), 0, 1)</f>
        <v>1</v>
      </c>
      <c r="G85" cm="1">
        <f t="array" ref="G85">IF(ISERR(FIND("PRODUTO_VAZIA", INDEX(tbl_vendas564[Tipo_Erro], ROW()-ROW(tbl_vendas564[#Headers])))), 0, 1)</f>
        <v>0</v>
      </c>
      <c r="H85" cm="1">
        <f t="array" ref="H85">IF(ISERR(FIND("CLIENTE_VAZIA", INDEX(tbl_vendas564[Tipo_Erro], ROW()-ROW(tbl_vendas564[#Headers])))), 0, 1)</f>
        <v>0</v>
      </c>
      <c r="I85" cm="1">
        <f t="array" ref="I85">IF(ISERR(FIND("QUANTIDADE_NEGATIVA", INDEX(tbl_vendas564[Tipo_Erro], ROW()-ROW(tbl_vendas564[#Headers])))), 0, 1)</f>
        <v>0</v>
      </c>
      <c r="J85" cm="1">
        <f t="array" ref="J85">IF(ISERR(FIND("QUANTIDADE_VAZIA", INDEX(tbl_vendas564[Tipo_Erro], ROW()-ROW(tbl_vendas564[#Headers])))), 0, 1)</f>
        <v>0</v>
      </c>
      <c r="K85" cm="1">
        <f t="array" ref="K85">IF(ISERR(FIND("CIDADE_VAZIA", INDEX(tbl_vendas564[Tipo_Erro], ROW()-ROW(tbl_vendas564[#Headers])))), 0, 1)</f>
        <v>0</v>
      </c>
      <c r="L85" s="1" t="s">
        <v>81</v>
      </c>
      <c r="M85" t="s">
        <v>12</v>
      </c>
      <c r="N85" t="s">
        <v>15</v>
      </c>
      <c r="P85" s="2"/>
      <c r="Q85" s="3" t="str">
        <f t="shared" si="10"/>
        <v/>
      </c>
      <c r="R85" t="s">
        <v>21</v>
      </c>
    </row>
    <row r="86" spans="1:18" x14ac:dyDescent="0.25">
      <c r="A86">
        <f t="shared" si="11"/>
        <v>84</v>
      </c>
      <c r="B86">
        <v>86</v>
      </c>
      <c r="C86" t="str">
        <f t="shared" si="7"/>
        <v>INCOMPLETA</v>
      </c>
      <c r="D86" t="str">
        <f t="shared" si="8"/>
        <v>ERRO</v>
      </c>
      <c r="E86" t="str">
        <f t="shared" si="9"/>
        <v>QUANTIDADE_VAZIA; CLIENTE_VAZIA; CIDADE_VAZIA</v>
      </c>
      <c r="F86" cm="1">
        <f t="array" ref="F86">IF(ISERR(FIND("PRECO_VAZIA", INDEX(tbl_vendas564[Tipo_Erro], ROW()-ROW(tbl_vendas564[#Headers])))), 0, 1)</f>
        <v>0</v>
      </c>
      <c r="G86" cm="1">
        <f t="array" ref="G86">IF(ISERR(FIND("PRODUTO_VAZIA", INDEX(tbl_vendas564[Tipo_Erro], ROW()-ROW(tbl_vendas564[#Headers])))), 0, 1)</f>
        <v>0</v>
      </c>
      <c r="H86" cm="1">
        <f t="array" ref="H86">IF(ISERR(FIND("CLIENTE_VAZIA", INDEX(tbl_vendas564[Tipo_Erro], ROW()-ROW(tbl_vendas564[#Headers])))), 0, 1)</f>
        <v>1</v>
      </c>
      <c r="I86" cm="1">
        <f t="array" ref="I86">IF(ISERR(FIND("QUANTIDADE_NEGATIVA", INDEX(tbl_vendas564[Tipo_Erro], ROW()-ROW(tbl_vendas564[#Headers])))), 0, 1)</f>
        <v>0</v>
      </c>
      <c r="J86" cm="1">
        <f t="array" ref="J86">IF(ISERR(FIND("QUANTIDADE_VAZIA", INDEX(tbl_vendas564[Tipo_Erro], ROW()-ROW(tbl_vendas564[#Headers])))), 0, 1)</f>
        <v>1</v>
      </c>
      <c r="K86" cm="1">
        <f t="array" ref="K86">IF(ISERR(FIND("CIDADE_VAZIA", INDEX(tbl_vendas564[Tipo_Erro], ROW()-ROW(tbl_vendas564[#Headers])))), 0, 1)</f>
        <v>1</v>
      </c>
      <c r="L86" s="1" t="s">
        <v>63</v>
      </c>
      <c r="N86" t="s">
        <v>31</v>
      </c>
      <c r="O86">
        <v>10</v>
      </c>
      <c r="P86" s="2" t="s">
        <v>35</v>
      </c>
      <c r="Q86" s="3" t="str">
        <f t="shared" si="10"/>
        <v>R$ 30</v>
      </c>
    </row>
    <row r="87" spans="1:18" x14ac:dyDescent="0.25">
      <c r="A87">
        <f t="shared" si="11"/>
        <v>85</v>
      </c>
      <c r="B87">
        <v>87</v>
      </c>
      <c r="C87" t="str">
        <f t="shared" si="7"/>
        <v>INCOMPLETA</v>
      </c>
      <c r="D87" t="str">
        <f t="shared" si="8"/>
        <v>ERRO</v>
      </c>
      <c r="E87" t="str">
        <f t="shared" si="9"/>
        <v>PRECO_VAZIA; CIDADE_VAZIA</v>
      </c>
      <c r="F87" cm="1">
        <f t="array" ref="F87">IF(ISERR(FIND("PRECO_VAZIA", INDEX(tbl_vendas564[Tipo_Erro], ROW()-ROW(tbl_vendas564[#Headers])))), 0, 1)</f>
        <v>1</v>
      </c>
      <c r="G87" cm="1">
        <f t="array" ref="G87">IF(ISERR(FIND("PRODUTO_VAZIA", INDEX(tbl_vendas564[Tipo_Erro], ROW()-ROW(tbl_vendas564[#Headers])))), 0, 1)</f>
        <v>0</v>
      </c>
      <c r="H87" cm="1">
        <f t="array" ref="H87">IF(ISERR(FIND("CLIENTE_VAZIA", INDEX(tbl_vendas564[Tipo_Erro], ROW()-ROW(tbl_vendas564[#Headers])))), 0, 1)</f>
        <v>0</v>
      </c>
      <c r="I87" cm="1">
        <f t="array" ref="I87">IF(ISERR(FIND("QUANTIDADE_NEGATIVA", INDEX(tbl_vendas564[Tipo_Erro], ROW()-ROW(tbl_vendas564[#Headers])))), 0, 1)</f>
        <v>0</v>
      </c>
      <c r="J87" cm="1">
        <f t="array" ref="J87">IF(ISERR(FIND("QUANTIDADE_VAZIA", INDEX(tbl_vendas564[Tipo_Erro], ROW()-ROW(tbl_vendas564[#Headers])))), 0, 1)</f>
        <v>0</v>
      </c>
      <c r="K87" cm="1">
        <f t="array" ref="K87">IF(ISERR(FIND("CIDADE_VAZIA", INDEX(tbl_vendas564[Tipo_Erro], ROW()-ROW(tbl_vendas564[#Headers])))), 0, 1)</f>
        <v>1</v>
      </c>
      <c r="L87" s="1" t="s">
        <v>98</v>
      </c>
      <c r="M87" t="s">
        <v>26</v>
      </c>
      <c r="N87" t="s">
        <v>53</v>
      </c>
      <c r="P87" s="2"/>
      <c r="Q87" s="3" t="str">
        <f t="shared" si="10"/>
        <v/>
      </c>
    </row>
    <row r="88" spans="1:18" x14ac:dyDescent="0.25">
      <c r="A88">
        <f t="shared" si="11"/>
        <v>86</v>
      </c>
      <c r="B88">
        <v>88</v>
      </c>
      <c r="C88" t="str">
        <f t="shared" si="7"/>
        <v>INCOMPLETA</v>
      </c>
      <c r="D88" t="str">
        <f t="shared" si="8"/>
        <v>ERRO</v>
      </c>
      <c r="E88" t="str">
        <f t="shared" si="9"/>
        <v/>
      </c>
      <c r="F88" cm="1">
        <f t="array" ref="F88">IF(ISERR(FIND("PRECO_VAZIA", INDEX(tbl_vendas564[Tipo_Erro], ROW()-ROW(tbl_vendas564[#Headers])))), 0, 1)</f>
        <v>0</v>
      </c>
      <c r="G88" cm="1">
        <f t="array" ref="G88">IF(ISERR(FIND("PRODUTO_VAZIA", INDEX(tbl_vendas564[Tipo_Erro], ROW()-ROW(tbl_vendas564[#Headers])))), 0, 1)</f>
        <v>0</v>
      </c>
      <c r="H88" cm="1">
        <f t="array" ref="H88">IF(ISERR(FIND("CLIENTE_VAZIA", INDEX(tbl_vendas564[Tipo_Erro], ROW()-ROW(tbl_vendas564[#Headers])))), 0, 1)</f>
        <v>0</v>
      </c>
      <c r="I88" cm="1">
        <f t="array" ref="I88">IF(ISERR(FIND("QUANTIDADE_NEGATIVA", INDEX(tbl_vendas564[Tipo_Erro], ROW()-ROW(tbl_vendas564[#Headers])))), 0, 1)</f>
        <v>0</v>
      </c>
      <c r="J88" cm="1">
        <f t="array" ref="J88">IF(ISERR(FIND("QUANTIDADE_VAZIA", INDEX(tbl_vendas564[Tipo_Erro], ROW()-ROW(tbl_vendas564[#Headers])))), 0, 1)</f>
        <v>0</v>
      </c>
      <c r="K88" cm="1">
        <f t="array" ref="K88">IF(ISERR(FIND("CIDADE_VAZIA", INDEX(tbl_vendas564[Tipo_Erro], ROW()-ROW(tbl_vendas564[#Headers])))), 0, 1)</f>
        <v>0</v>
      </c>
      <c r="L88" s="1" t="s">
        <v>99</v>
      </c>
      <c r="M88" t="s">
        <v>26</v>
      </c>
      <c r="N88" t="s">
        <v>23</v>
      </c>
      <c r="P88" s="2" t="s">
        <v>35</v>
      </c>
      <c r="Q88" s="3" t="str">
        <f t="shared" si="10"/>
        <v>R$ 30</v>
      </c>
      <c r="R88" t="s">
        <v>49</v>
      </c>
    </row>
    <row r="89" spans="1:18" x14ac:dyDescent="0.25">
      <c r="A89">
        <f t="shared" si="11"/>
        <v>87</v>
      </c>
      <c r="B89">
        <v>89</v>
      </c>
      <c r="C89" t="str">
        <f t="shared" si="7"/>
        <v>COMPLETA</v>
      </c>
      <c r="D89" t="str">
        <f t="shared" si="8"/>
        <v>ERRO</v>
      </c>
      <c r="E89" t="str">
        <f t="shared" si="9"/>
        <v>QUANTIDADE_NEGATIVA</v>
      </c>
      <c r="F89" cm="1">
        <f t="array" ref="F89">IF(ISERR(FIND("PRECO_VAZIA", INDEX(tbl_vendas564[Tipo_Erro], ROW()-ROW(tbl_vendas564[#Headers])))), 0, 1)</f>
        <v>0</v>
      </c>
      <c r="G89" cm="1">
        <f t="array" ref="G89">IF(ISERR(FIND("PRODUTO_VAZIA", INDEX(tbl_vendas564[Tipo_Erro], ROW()-ROW(tbl_vendas564[#Headers])))), 0, 1)</f>
        <v>0</v>
      </c>
      <c r="H89" cm="1">
        <f t="array" ref="H89">IF(ISERR(FIND("CLIENTE_VAZIA", INDEX(tbl_vendas564[Tipo_Erro], ROW()-ROW(tbl_vendas564[#Headers])))), 0, 1)</f>
        <v>0</v>
      </c>
      <c r="I89" cm="1">
        <f t="array" ref="I89">IF(ISERR(FIND("QUANTIDADE_NEGATIVA", INDEX(tbl_vendas564[Tipo_Erro], ROW()-ROW(tbl_vendas564[#Headers])))), 0, 1)</f>
        <v>1</v>
      </c>
      <c r="J89" cm="1">
        <f t="array" ref="J89">IF(ISERR(FIND("QUANTIDADE_VAZIA", INDEX(tbl_vendas564[Tipo_Erro], ROW()-ROW(tbl_vendas564[#Headers])))), 0, 1)</f>
        <v>0</v>
      </c>
      <c r="K89" cm="1">
        <f t="array" ref="K89">IF(ISERR(FIND("CIDADE_VAZIA", INDEX(tbl_vendas564[Tipo_Erro], ROW()-ROW(tbl_vendas564[#Headers])))), 0, 1)</f>
        <v>0</v>
      </c>
      <c r="L89" s="1" t="s">
        <v>63</v>
      </c>
      <c r="M89" t="s">
        <v>8</v>
      </c>
      <c r="N89" t="s">
        <v>47</v>
      </c>
      <c r="O89">
        <v>-3</v>
      </c>
      <c r="P89" s="2">
        <v>224.5</v>
      </c>
      <c r="Q89" s="3">
        <f t="shared" si="10"/>
        <v>224.5</v>
      </c>
      <c r="R89" t="s">
        <v>49</v>
      </c>
    </row>
    <row r="90" spans="1:18" x14ac:dyDescent="0.25">
      <c r="A90">
        <f t="shared" si="11"/>
        <v>88</v>
      </c>
      <c r="B90">
        <v>90</v>
      </c>
      <c r="C90" t="str">
        <f t="shared" si="7"/>
        <v>INCOMPLETA</v>
      </c>
      <c r="D90" t="str">
        <f t="shared" si="8"/>
        <v>ERRO</v>
      </c>
      <c r="E90" t="str">
        <f t="shared" si="9"/>
        <v>CIDADE_VAZIA</v>
      </c>
      <c r="F90" cm="1">
        <f t="array" ref="F90">IF(ISERR(FIND("PRECO_VAZIA", INDEX(tbl_vendas564[Tipo_Erro], ROW()-ROW(tbl_vendas564[#Headers])))), 0, 1)</f>
        <v>0</v>
      </c>
      <c r="G90" cm="1">
        <f t="array" ref="G90">IF(ISERR(FIND("PRODUTO_VAZIA", INDEX(tbl_vendas564[Tipo_Erro], ROW()-ROW(tbl_vendas564[#Headers])))), 0, 1)</f>
        <v>0</v>
      </c>
      <c r="H90" cm="1">
        <f t="array" ref="H90">IF(ISERR(FIND("CLIENTE_VAZIA", INDEX(tbl_vendas564[Tipo_Erro], ROW()-ROW(tbl_vendas564[#Headers])))), 0, 1)</f>
        <v>0</v>
      </c>
      <c r="I90" cm="1">
        <f t="array" ref="I90">IF(ISERR(FIND("QUANTIDADE_NEGATIVA", INDEX(tbl_vendas564[Tipo_Erro], ROW()-ROW(tbl_vendas564[#Headers])))), 0, 1)</f>
        <v>0</v>
      </c>
      <c r="J90" cm="1">
        <f t="array" ref="J90">IF(ISERR(FIND("QUANTIDADE_VAZIA", INDEX(tbl_vendas564[Tipo_Erro], ROW()-ROW(tbl_vendas564[#Headers])))), 0, 1)</f>
        <v>0</v>
      </c>
      <c r="K90" cm="1">
        <f t="array" ref="K90">IF(ISERR(FIND("CIDADE_VAZIA", INDEX(tbl_vendas564[Tipo_Erro], ROW()-ROW(tbl_vendas564[#Headers])))), 0, 1)</f>
        <v>1</v>
      </c>
      <c r="L90" s="1" t="s">
        <v>100</v>
      </c>
      <c r="M90" t="s">
        <v>8</v>
      </c>
      <c r="N90" t="s">
        <v>37</v>
      </c>
      <c r="P90" s="2">
        <v>481.34</v>
      </c>
      <c r="Q90" s="3">
        <f t="shared" si="10"/>
        <v>481.34</v>
      </c>
    </row>
    <row r="91" spans="1:18" x14ac:dyDescent="0.25">
      <c r="A91">
        <f t="shared" si="11"/>
        <v>89</v>
      </c>
      <c r="B91">
        <v>91</v>
      </c>
      <c r="C91" t="str">
        <f t="shared" si="7"/>
        <v>INCOMPLETA</v>
      </c>
      <c r="D91" t="str">
        <f t="shared" si="8"/>
        <v>ERRO</v>
      </c>
      <c r="E91" t="str">
        <f t="shared" si="9"/>
        <v>QUANTIDADE_NEGATIVA; PRECO_VAZIA</v>
      </c>
      <c r="F91" cm="1">
        <f t="array" ref="F91">IF(ISERR(FIND("PRECO_VAZIA", INDEX(tbl_vendas564[Tipo_Erro], ROW()-ROW(tbl_vendas564[#Headers])))), 0, 1)</f>
        <v>1</v>
      </c>
      <c r="G91" cm="1">
        <f t="array" ref="G91">IF(ISERR(FIND("PRODUTO_VAZIA", INDEX(tbl_vendas564[Tipo_Erro], ROW()-ROW(tbl_vendas564[#Headers])))), 0, 1)</f>
        <v>0</v>
      </c>
      <c r="H91" cm="1">
        <f t="array" ref="H91">IF(ISERR(FIND("CLIENTE_VAZIA", INDEX(tbl_vendas564[Tipo_Erro], ROW()-ROW(tbl_vendas564[#Headers])))), 0, 1)</f>
        <v>0</v>
      </c>
      <c r="I91" cm="1">
        <f t="array" ref="I91">IF(ISERR(FIND("QUANTIDADE_NEGATIVA", INDEX(tbl_vendas564[Tipo_Erro], ROW()-ROW(tbl_vendas564[#Headers])))), 0, 1)</f>
        <v>1</v>
      </c>
      <c r="J91" cm="1">
        <f t="array" ref="J91">IF(ISERR(FIND("QUANTIDADE_VAZIA", INDEX(tbl_vendas564[Tipo_Erro], ROW()-ROW(tbl_vendas564[#Headers])))), 0, 1)</f>
        <v>0</v>
      </c>
      <c r="K91" cm="1">
        <f t="array" ref="K91">IF(ISERR(FIND("CIDADE_VAZIA", INDEX(tbl_vendas564[Tipo_Erro], ROW()-ROW(tbl_vendas564[#Headers])))), 0, 1)</f>
        <v>0</v>
      </c>
      <c r="L91" s="1" t="s">
        <v>101</v>
      </c>
      <c r="M91" t="s">
        <v>12</v>
      </c>
      <c r="N91" t="s">
        <v>15</v>
      </c>
      <c r="O91">
        <v>-3</v>
      </c>
      <c r="P91" s="2"/>
      <c r="Q91" s="3" t="str">
        <f t="shared" si="10"/>
        <v/>
      </c>
      <c r="R91" t="s">
        <v>10</v>
      </c>
    </row>
    <row r="92" spans="1:18" x14ac:dyDescent="0.25">
      <c r="A92">
        <f t="shared" si="11"/>
        <v>90</v>
      </c>
      <c r="B92">
        <v>92</v>
      </c>
      <c r="C92" t="str">
        <f t="shared" si="7"/>
        <v>COMPLETA</v>
      </c>
      <c r="D92" t="str">
        <f t="shared" si="8"/>
        <v>ERRO</v>
      </c>
      <c r="E92" t="str">
        <f t="shared" si="9"/>
        <v>QUANTIDADE_NEGATIVA</v>
      </c>
      <c r="F92" cm="1">
        <f t="array" ref="F92">IF(ISERR(FIND("PRECO_VAZIA", INDEX(tbl_vendas564[Tipo_Erro], ROW()-ROW(tbl_vendas564[#Headers])))), 0, 1)</f>
        <v>0</v>
      </c>
      <c r="G92" cm="1">
        <f t="array" ref="G92">IF(ISERR(FIND("PRODUTO_VAZIA", INDEX(tbl_vendas564[Tipo_Erro], ROW()-ROW(tbl_vendas564[#Headers])))), 0, 1)</f>
        <v>0</v>
      </c>
      <c r="H92" cm="1">
        <f t="array" ref="H92">IF(ISERR(FIND("CLIENTE_VAZIA", INDEX(tbl_vendas564[Tipo_Erro], ROW()-ROW(tbl_vendas564[#Headers])))), 0, 1)</f>
        <v>0</v>
      </c>
      <c r="I92" cm="1">
        <f t="array" ref="I92">IF(ISERR(FIND("QUANTIDADE_NEGATIVA", INDEX(tbl_vendas564[Tipo_Erro], ROW()-ROW(tbl_vendas564[#Headers])))), 0, 1)</f>
        <v>1</v>
      </c>
      <c r="J92" cm="1">
        <f t="array" ref="J92">IF(ISERR(FIND("QUANTIDADE_VAZIA", INDEX(tbl_vendas564[Tipo_Erro], ROW()-ROW(tbl_vendas564[#Headers])))), 0, 1)</f>
        <v>0</v>
      </c>
      <c r="K92" cm="1">
        <f t="array" ref="K92">IF(ISERR(FIND("CIDADE_VAZIA", INDEX(tbl_vendas564[Tipo_Erro], ROW()-ROW(tbl_vendas564[#Headers])))), 0, 1)</f>
        <v>0</v>
      </c>
      <c r="L92" s="1" t="s">
        <v>102</v>
      </c>
      <c r="M92" t="s">
        <v>12</v>
      </c>
      <c r="N92" t="s">
        <v>31</v>
      </c>
      <c r="O92">
        <v>-3</v>
      </c>
      <c r="P92" s="2">
        <v>173.32</v>
      </c>
      <c r="Q92" s="3">
        <f t="shared" si="10"/>
        <v>173.32</v>
      </c>
      <c r="R92" t="s">
        <v>13</v>
      </c>
    </row>
    <row r="93" spans="1:18" x14ac:dyDescent="0.25">
      <c r="A93">
        <f t="shared" si="11"/>
        <v>91</v>
      </c>
      <c r="B93">
        <v>93</v>
      </c>
      <c r="C93" t="str">
        <f t="shared" si="7"/>
        <v>COMPLETA</v>
      </c>
      <c r="D93" t="str">
        <f t="shared" si="8"/>
        <v>ERRO</v>
      </c>
      <c r="E93" t="str">
        <f t="shared" si="9"/>
        <v/>
      </c>
      <c r="F93" cm="1">
        <f t="array" ref="F93">IF(ISERR(FIND("PRECO_VAZIA", INDEX(tbl_vendas564[Tipo_Erro], ROW()-ROW(tbl_vendas564[#Headers])))), 0, 1)</f>
        <v>0</v>
      </c>
      <c r="G93" cm="1">
        <f t="array" ref="G93">IF(ISERR(FIND("PRODUTO_VAZIA", INDEX(tbl_vendas564[Tipo_Erro], ROW()-ROW(tbl_vendas564[#Headers])))), 0, 1)</f>
        <v>0</v>
      </c>
      <c r="H93" cm="1">
        <f t="array" ref="H93">IF(ISERR(FIND("CLIENTE_VAZIA", INDEX(tbl_vendas564[Tipo_Erro], ROW()-ROW(tbl_vendas564[#Headers])))), 0, 1)</f>
        <v>0</v>
      </c>
      <c r="I93" cm="1">
        <f t="array" ref="I93">IF(ISERR(FIND("QUANTIDADE_NEGATIVA", INDEX(tbl_vendas564[Tipo_Erro], ROW()-ROW(tbl_vendas564[#Headers])))), 0, 1)</f>
        <v>0</v>
      </c>
      <c r="J93" cm="1">
        <f t="array" ref="J93">IF(ISERR(FIND("QUANTIDADE_VAZIA", INDEX(tbl_vendas564[Tipo_Erro], ROW()-ROW(tbl_vendas564[#Headers])))), 0, 1)</f>
        <v>0</v>
      </c>
      <c r="K93" cm="1">
        <f t="array" ref="K93">IF(ISERR(FIND("CIDADE_VAZIA", INDEX(tbl_vendas564[Tipo_Erro], ROW()-ROW(tbl_vendas564[#Headers])))), 0, 1)</f>
        <v>0</v>
      </c>
      <c r="L93" s="1" t="s">
        <v>103</v>
      </c>
      <c r="M93" t="s">
        <v>33</v>
      </c>
      <c r="N93" t="s">
        <v>53</v>
      </c>
      <c r="O93">
        <v>13</v>
      </c>
      <c r="P93" s="2" t="s">
        <v>35</v>
      </c>
      <c r="Q93" s="3" t="str">
        <f t="shared" si="10"/>
        <v>R$ 30</v>
      </c>
      <c r="R93" t="s">
        <v>17</v>
      </c>
    </row>
    <row r="94" spans="1:18" x14ac:dyDescent="0.25">
      <c r="A94">
        <f t="shared" si="11"/>
        <v>92</v>
      </c>
      <c r="B94">
        <v>94</v>
      </c>
      <c r="C94" t="str">
        <f t="shared" si="7"/>
        <v>INCOMPLETA</v>
      </c>
      <c r="D94" t="str">
        <f t="shared" si="8"/>
        <v>ERRO</v>
      </c>
      <c r="E94" t="str">
        <f t="shared" si="9"/>
        <v>QUANTIDADE_NEGATIVA; PRECO_VAZIA; PRODUTO_VAZIA</v>
      </c>
      <c r="F94" cm="1">
        <f t="array" ref="F94">IF(ISERR(FIND("PRECO_VAZIA", INDEX(tbl_vendas564[Tipo_Erro], ROW()-ROW(tbl_vendas564[#Headers])))), 0, 1)</f>
        <v>1</v>
      </c>
      <c r="G94" cm="1">
        <f t="array" ref="G94">IF(ISERR(FIND("PRODUTO_VAZIA", INDEX(tbl_vendas564[Tipo_Erro], ROW()-ROW(tbl_vendas564[#Headers])))), 0, 1)</f>
        <v>1</v>
      </c>
      <c r="H94" cm="1">
        <f t="array" ref="H94">IF(ISERR(FIND("CLIENTE_VAZIA", INDEX(tbl_vendas564[Tipo_Erro], ROW()-ROW(tbl_vendas564[#Headers])))), 0, 1)</f>
        <v>0</v>
      </c>
      <c r="I94" cm="1">
        <f t="array" ref="I94">IF(ISERR(FIND("QUANTIDADE_NEGATIVA", INDEX(tbl_vendas564[Tipo_Erro], ROW()-ROW(tbl_vendas564[#Headers])))), 0, 1)</f>
        <v>1</v>
      </c>
      <c r="J94" cm="1">
        <f t="array" ref="J94">IF(ISERR(FIND("QUANTIDADE_VAZIA", INDEX(tbl_vendas564[Tipo_Erro], ROW()-ROW(tbl_vendas564[#Headers])))), 0, 1)</f>
        <v>0</v>
      </c>
      <c r="K94" cm="1">
        <f t="array" ref="K94">IF(ISERR(FIND("CIDADE_VAZIA", INDEX(tbl_vendas564[Tipo_Erro], ROW()-ROW(tbl_vendas564[#Headers])))), 0, 1)</f>
        <v>0</v>
      </c>
      <c r="L94" s="1" t="s">
        <v>22</v>
      </c>
      <c r="M94" t="s">
        <v>33</v>
      </c>
      <c r="O94">
        <v>-3</v>
      </c>
      <c r="P94" s="2"/>
      <c r="Q94" s="3" t="str">
        <f t="shared" si="10"/>
        <v/>
      </c>
      <c r="R94" t="s">
        <v>10</v>
      </c>
    </row>
    <row r="95" spans="1:18" x14ac:dyDescent="0.25">
      <c r="A95">
        <f t="shared" si="11"/>
        <v>93</v>
      </c>
      <c r="B95">
        <v>95</v>
      </c>
      <c r="C95" t="str">
        <f t="shared" si="7"/>
        <v>INCOMPLETA</v>
      </c>
      <c r="D95" t="str">
        <f t="shared" si="8"/>
        <v>ERRO</v>
      </c>
      <c r="E95" t="str">
        <f t="shared" si="9"/>
        <v>PRECO_VAZIA</v>
      </c>
      <c r="F95" cm="1">
        <f t="array" ref="F95">IF(ISERR(FIND("PRECO_VAZIA", INDEX(tbl_vendas564[Tipo_Erro], ROW()-ROW(tbl_vendas564[#Headers])))), 0, 1)</f>
        <v>1</v>
      </c>
      <c r="G95" cm="1">
        <f t="array" ref="G95">IF(ISERR(FIND("PRODUTO_VAZIA", INDEX(tbl_vendas564[Tipo_Erro], ROW()-ROW(tbl_vendas564[#Headers])))), 0, 1)</f>
        <v>0</v>
      </c>
      <c r="H95" cm="1">
        <f t="array" ref="H95">IF(ISERR(FIND("CLIENTE_VAZIA", INDEX(tbl_vendas564[Tipo_Erro], ROW()-ROW(tbl_vendas564[#Headers])))), 0, 1)</f>
        <v>0</v>
      </c>
      <c r="I95" cm="1">
        <f t="array" ref="I95">IF(ISERR(FIND("QUANTIDADE_NEGATIVA", INDEX(tbl_vendas564[Tipo_Erro], ROW()-ROW(tbl_vendas564[#Headers])))), 0, 1)</f>
        <v>0</v>
      </c>
      <c r="J95" cm="1">
        <f t="array" ref="J95">IF(ISERR(FIND("QUANTIDADE_VAZIA", INDEX(tbl_vendas564[Tipo_Erro], ROW()-ROW(tbl_vendas564[#Headers])))), 0, 1)</f>
        <v>0</v>
      </c>
      <c r="K95" cm="1">
        <f t="array" ref="K95">IF(ISERR(FIND("CIDADE_VAZIA", INDEX(tbl_vendas564[Tipo_Erro], ROW()-ROW(tbl_vendas564[#Headers])))), 0, 1)</f>
        <v>0</v>
      </c>
      <c r="L95" s="1" t="s">
        <v>104</v>
      </c>
      <c r="M95" t="s">
        <v>33</v>
      </c>
      <c r="N95" t="s">
        <v>31</v>
      </c>
      <c r="P95" s="2"/>
      <c r="Q95" s="3" t="str">
        <f t="shared" si="10"/>
        <v/>
      </c>
      <c r="R95" t="s">
        <v>17</v>
      </c>
    </row>
    <row r="96" spans="1:18" x14ac:dyDescent="0.25">
      <c r="A96">
        <f t="shared" si="11"/>
        <v>94</v>
      </c>
      <c r="B96">
        <v>96</v>
      </c>
      <c r="C96" t="str">
        <f t="shared" si="7"/>
        <v>INCOMPLETA</v>
      </c>
      <c r="D96" t="str">
        <f t="shared" si="8"/>
        <v>ERRO</v>
      </c>
      <c r="E96" t="str">
        <f t="shared" si="9"/>
        <v/>
      </c>
      <c r="F96" cm="1">
        <f t="array" ref="F96">IF(ISERR(FIND("PRECO_VAZIA", INDEX(tbl_vendas564[Tipo_Erro], ROW()-ROW(tbl_vendas564[#Headers])))), 0, 1)</f>
        <v>0</v>
      </c>
      <c r="G96" cm="1">
        <f t="array" ref="G96">IF(ISERR(FIND("PRODUTO_VAZIA", INDEX(tbl_vendas564[Tipo_Erro], ROW()-ROW(tbl_vendas564[#Headers])))), 0, 1)</f>
        <v>0</v>
      </c>
      <c r="H96" cm="1">
        <f t="array" ref="H96">IF(ISERR(FIND("CLIENTE_VAZIA", INDEX(tbl_vendas564[Tipo_Erro], ROW()-ROW(tbl_vendas564[#Headers])))), 0, 1)</f>
        <v>0</v>
      </c>
      <c r="I96" cm="1">
        <f t="array" ref="I96">IF(ISERR(FIND("QUANTIDADE_NEGATIVA", INDEX(tbl_vendas564[Tipo_Erro], ROW()-ROW(tbl_vendas564[#Headers])))), 0, 1)</f>
        <v>0</v>
      </c>
      <c r="J96" cm="1">
        <f t="array" ref="J96">IF(ISERR(FIND("QUANTIDADE_VAZIA", INDEX(tbl_vendas564[Tipo_Erro], ROW()-ROW(tbl_vendas564[#Headers])))), 0, 1)</f>
        <v>0</v>
      </c>
      <c r="K96" cm="1">
        <f t="array" ref="K96">IF(ISERR(FIND("CIDADE_VAZIA", INDEX(tbl_vendas564[Tipo_Erro], ROW()-ROW(tbl_vendas564[#Headers])))), 0, 1)</f>
        <v>0</v>
      </c>
      <c r="L96" s="1" t="s">
        <v>105</v>
      </c>
      <c r="M96" t="s">
        <v>33</v>
      </c>
      <c r="N96" t="s">
        <v>23</v>
      </c>
      <c r="P96" s="2" t="s">
        <v>35</v>
      </c>
      <c r="Q96" s="3" t="str">
        <f t="shared" si="10"/>
        <v>R$ 30</v>
      </c>
      <c r="R96" t="s">
        <v>10</v>
      </c>
    </row>
    <row r="97" spans="1:18" x14ac:dyDescent="0.25">
      <c r="A97">
        <f t="shared" si="11"/>
        <v>95</v>
      </c>
      <c r="B97">
        <v>98</v>
      </c>
      <c r="C97" t="str">
        <f t="shared" si="7"/>
        <v>INCOMPLETA</v>
      </c>
      <c r="D97" t="str">
        <f t="shared" si="8"/>
        <v>ERRO</v>
      </c>
      <c r="E97" t="str">
        <f t="shared" si="9"/>
        <v>QUANTIDADE_VAZIA; QUANTIDADE_NEGATIVA; PRECO_VAZIA; CLIENTE_VAZIA</v>
      </c>
      <c r="F97" cm="1">
        <f t="array" ref="F97">IF(ISERR(FIND("PRECO_VAZIA", INDEX(tbl_vendas564[Tipo_Erro], ROW()-ROW(tbl_vendas564[#Headers])))), 0, 1)</f>
        <v>1</v>
      </c>
      <c r="G97" cm="1">
        <f t="array" ref="G97">IF(ISERR(FIND("PRODUTO_VAZIA", INDEX(tbl_vendas564[Tipo_Erro], ROW()-ROW(tbl_vendas564[#Headers])))), 0, 1)</f>
        <v>0</v>
      </c>
      <c r="H97" cm="1">
        <f t="array" ref="H97">IF(ISERR(FIND("CLIENTE_VAZIA", INDEX(tbl_vendas564[Tipo_Erro], ROW()-ROW(tbl_vendas564[#Headers])))), 0, 1)</f>
        <v>1</v>
      </c>
      <c r="I97" cm="1">
        <f t="array" ref="I97">IF(ISERR(FIND("QUANTIDADE_NEGATIVA", INDEX(tbl_vendas564[Tipo_Erro], ROW()-ROW(tbl_vendas564[#Headers])))), 0, 1)</f>
        <v>1</v>
      </c>
      <c r="J97" cm="1">
        <f t="array" ref="J97">IF(ISERR(FIND("QUANTIDADE_VAZIA", INDEX(tbl_vendas564[Tipo_Erro], ROW()-ROW(tbl_vendas564[#Headers])))), 0, 1)</f>
        <v>1</v>
      </c>
      <c r="K97" cm="1">
        <f t="array" ref="K97">IF(ISERR(FIND("CIDADE_VAZIA", INDEX(tbl_vendas564[Tipo_Erro], ROW()-ROW(tbl_vendas564[#Headers])))), 0, 1)</f>
        <v>0</v>
      </c>
      <c r="L97" s="1" t="s">
        <v>106</v>
      </c>
      <c r="N97" t="s">
        <v>53</v>
      </c>
      <c r="O97">
        <v>-3</v>
      </c>
      <c r="P97" s="2"/>
      <c r="Q97" s="3" t="str">
        <f t="shared" si="10"/>
        <v/>
      </c>
      <c r="R97" t="s">
        <v>49</v>
      </c>
    </row>
    <row r="98" spans="1:18" x14ac:dyDescent="0.25">
      <c r="A98">
        <f t="shared" si="11"/>
        <v>96</v>
      </c>
      <c r="B98">
        <v>99</v>
      </c>
      <c r="C98" t="str">
        <f t="shared" ref="C98:C129" si="12">IF(AND(B98&lt;&gt;"",L98&lt;&gt;"",M98&lt;&gt;"",N98&lt;&gt;"",O98&lt;&gt;"",Q98&lt;&gt;"",R98&lt;&gt;""),"COMPLETA","INCOMPLETA")</f>
        <v>INCOMPLETA</v>
      </c>
      <c r="D98" t="str">
        <f t="shared" ref="D98:D129" si="13">IF(AND(C98="COMPLETA", ISNUMBER(O98), O98&gt;0, ISNUMBER(Q98), Q98&gt;0), "OK", "ERRO")</f>
        <v>ERRO</v>
      </c>
      <c r="E98" t="str">
        <f t="shared" si="9"/>
        <v>PRECO_VAZIA; PRODUTO_VAZIA</v>
      </c>
      <c r="F98" cm="1">
        <f t="array" ref="F98">IF(ISERR(FIND("PRECO_VAZIA", INDEX(tbl_vendas564[Tipo_Erro], ROW()-ROW(tbl_vendas564[#Headers])))), 0, 1)</f>
        <v>1</v>
      </c>
      <c r="G98" cm="1">
        <f t="array" ref="G98">IF(ISERR(FIND("PRODUTO_VAZIA", INDEX(tbl_vendas564[Tipo_Erro], ROW()-ROW(tbl_vendas564[#Headers])))), 0, 1)</f>
        <v>1</v>
      </c>
      <c r="H98" cm="1">
        <f t="array" ref="H98">IF(ISERR(FIND("CLIENTE_VAZIA", INDEX(tbl_vendas564[Tipo_Erro], ROW()-ROW(tbl_vendas564[#Headers])))), 0, 1)</f>
        <v>0</v>
      </c>
      <c r="I98" cm="1">
        <f t="array" ref="I98">IF(ISERR(FIND("QUANTIDADE_NEGATIVA", INDEX(tbl_vendas564[Tipo_Erro], ROW()-ROW(tbl_vendas564[#Headers])))), 0, 1)</f>
        <v>0</v>
      </c>
      <c r="J98" cm="1">
        <f t="array" ref="J98">IF(ISERR(FIND("QUANTIDADE_VAZIA", INDEX(tbl_vendas564[Tipo_Erro], ROW()-ROW(tbl_vendas564[#Headers])))), 0, 1)</f>
        <v>0</v>
      </c>
      <c r="K98" cm="1">
        <f t="array" ref="K98">IF(ISERR(FIND("CIDADE_VAZIA", INDEX(tbl_vendas564[Tipo_Erro], ROW()-ROW(tbl_vendas564[#Headers])))), 0, 1)</f>
        <v>0</v>
      </c>
      <c r="L98" s="1" t="s">
        <v>107</v>
      </c>
      <c r="M98" t="s">
        <v>26</v>
      </c>
      <c r="O98">
        <v>5</v>
      </c>
      <c r="P98" s="2">
        <v>-10</v>
      </c>
      <c r="Q98" s="3" t="str">
        <f t="shared" si="10"/>
        <v/>
      </c>
      <c r="R98" t="s">
        <v>17</v>
      </c>
    </row>
    <row r="99" spans="1:18" x14ac:dyDescent="0.25">
      <c r="A99">
        <f t="shared" si="11"/>
        <v>97</v>
      </c>
      <c r="B99">
        <v>100</v>
      </c>
      <c r="C99" t="str">
        <f t="shared" si="12"/>
        <v>INCOMPLETA</v>
      </c>
      <c r="D99" t="str">
        <f t="shared" si="13"/>
        <v>ERRO</v>
      </c>
      <c r="E99" t="str">
        <f t="shared" si="9"/>
        <v>PRECO_VAZIA</v>
      </c>
      <c r="F99" cm="1">
        <f t="array" ref="F99">IF(ISERR(FIND("PRECO_VAZIA", INDEX(tbl_vendas564[Tipo_Erro], ROW()-ROW(tbl_vendas564[#Headers])))), 0, 1)</f>
        <v>1</v>
      </c>
      <c r="G99" cm="1">
        <f t="array" ref="G99">IF(ISERR(FIND("PRODUTO_VAZIA", INDEX(tbl_vendas564[Tipo_Erro], ROW()-ROW(tbl_vendas564[#Headers])))), 0, 1)</f>
        <v>0</v>
      </c>
      <c r="H99" cm="1">
        <f t="array" ref="H99">IF(ISERR(FIND("CLIENTE_VAZIA", INDEX(tbl_vendas564[Tipo_Erro], ROW()-ROW(tbl_vendas564[#Headers])))), 0, 1)</f>
        <v>0</v>
      </c>
      <c r="I99" cm="1">
        <f t="array" ref="I99">IF(ISERR(FIND("QUANTIDADE_NEGATIVA", INDEX(tbl_vendas564[Tipo_Erro], ROW()-ROW(tbl_vendas564[#Headers])))), 0, 1)</f>
        <v>0</v>
      </c>
      <c r="J99" cm="1">
        <f t="array" ref="J99">IF(ISERR(FIND("QUANTIDADE_VAZIA", INDEX(tbl_vendas564[Tipo_Erro], ROW()-ROW(tbl_vendas564[#Headers])))), 0, 1)</f>
        <v>0</v>
      </c>
      <c r="K99" cm="1">
        <f t="array" ref="K99">IF(ISERR(FIND("CIDADE_VAZIA", INDEX(tbl_vendas564[Tipo_Erro], ROW()-ROW(tbl_vendas564[#Headers])))), 0, 1)</f>
        <v>0</v>
      </c>
      <c r="L99" s="1" t="s">
        <v>59</v>
      </c>
      <c r="M99" t="s">
        <v>8</v>
      </c>
      <c r="N99" t="s">
        <v>37</v>
      </c>
      <c r="O99">
        <v>10</v>
      </c>
      <c r="P99" s="2">
        <v>-10</v>
      </c>
      <c r="Q99" s="3" t="str">
        <f t="shared" si="10"/>
        <v/>
      </c>
      <c r="R99" t="s">
        <v>13</v>
      </c>
    </row>
    <row r="100" spans="1:18" x14ac:dyDescent="0.25">
      <c r="A100">
        <f t="shared" si="11"/>
        <v>98</v>
      </c>
      <c r="B100">
        <v>101</v>
      </c>
      <c r="C100" t="str">
        <f t="shared" si="12"/>
        <v>COMPLETA</v>
      </c>
      <c r="D100" t="str">
        <f t="shared" si="13"/>
        <v>ERRO</v>
      </c>
      <c r="E100" t="str">
        <f t="shared" si="9"/>
        <v>QUANTIDADE_NEGATIVA</v>
      </c>
      <c r="F100" cm="1">
        <f t="array" ref="F100">IF(ISERR(FIND("PRECO_VAZIA", INDEX(tbl_vendas564[Tipo_Erro], ROW()-ROW(tbl_vendas564[#Headers])))), 0, 1)</f>
        <v>0</v>
      </c>
      <c r="G100" cm="1">
        <f t="array" ref="G100">IF(ISERR(FIND("PRODUTO_VAZIA", INDEX(tbl_vendas564[Tipo_Erro], ROW()-ROW(tbl_vendas564[#Headers])))), 0, 1)</f>
        <v>0</v>
      </c>
      <c r="H100" cm="1">
        <f t="array" ref="H100">IF(ISERR(FIND("CLIENTE_VAZIA", INDEX(tbl_vendas564[Tipo_Erro], ROW()-ROW(tbl_vendas564[#Headers])))), 0, 1)</f>
        <v>0</v>
      </c>
      <c r="I100" cm="1">
        <f t="array" ref="I100">IF(ISERR(FIND("QUANTIDADE_NEGATIVA", INDEX(tbl_vendas564[Tipo_Erro], ROW()-ROW(tbl_vendas564[#Headers])))), 0, 1)</f>
        <v>1</v>
      </c>
      <c r="J100" cm="1">
        <f t="array" ref="J100">IF(ISERR(FIND("QUANTIDADE_VAZIA", INDEX(tbl_vendas564[Tipo_Erro], ROW()-ROW(tbl_vendas564[#Headers])))), 0, 1)</f>
        <v>0</v>
      </c>
      <c r="K100" cm="1">
        <f t="array" ref="K100">IF(ISERR(FIND("CIDADE_VAZIA", INDEX(tbl_vendas564[Tipo_Erro], ROW()-ROW(tbl_vendas564[#Headers])))), 0, 1)</f>
        <v>0</v>
      </c>
      <c r="L100" s="1" t="s">
        <v>108</v>
      </c>
      <c r="M100" t="s">
        <v>8</v>
      </c>
      <c r="N100" t="s">
        <v>19</v>
      </c>
      <c r="O100">
        <v>-3</v>
      </c>
      <c r="P100" s="2" t="s">
        <v>35</v>
      </c>
      <c r="Q100" s="3" t="str">
        <f t="shared" si="10"/>
        <v>R$ 30</v>
      </c>
      <c r="R100" t="s">
        <v>13</v>
      </c>
    </row>
    <row r="101" spans="1:18" x14ac:dyDescent="0.25">
      <c r="A101">
        <f t="shared" si="11"/>
        <v>99</v>
      </c>
      <c r="B101">
        <v>102</v>
      </c>
      <c r="C101" t="str">
        <f t="shared" si="12"/>
        <v>INCOMPLETA</v>
      </c>
      <c r="D101" t="str">
        <f t="shared" si="13"/>
        <v>ERRO</v>
      </c>
      <c r="E101" t="str">
        <f t="shared" si="9"/>
        <v>QUANTIDADE_VAZIA; QUANTIDADE_NEGATIVA; PRECO_VAZIA; CLIENTE_VAZIA; CIDADE_VAZIA</v>
      </c>
      <c r="F101" cm="1">
        <f t="array" ref="F101">IF(ISERR(FIND("PRECO_VAZIA", INDEX(tbl_vendas564[Tipo_Erro], ROW()-ROW(tbl_vendas564[#Headers])))), 0, 1)</f>
        <v>1</v>
      </c>
      <c r="G101" cm="1">
        <f t="array" ref="G101">IF(ISERR(FIND("PRODUTO_VAZIA", INDEX(tbl_vendas564[Tipo_Erro], ROW()-ROW(tbl_vendas564[#Headers])))), 0, 1)</f>
        <v>0</v>
      </c>
      <c r="H101" cm="1">
        <f t="array" ref="H101">IF(ISERR(FIND("CLIENTE_VAZIA", INDEX(tbl_vendas564[Tipo_Erro], ROW()-ROW(tbl_vendas564[#Headers])))), 0, 1)</f>
        <v>1</v>
      </c>
      <c r="I101" cm="1">
        <f t="array" ref="I101">IF(ISERR(FIND("QUANTIDADE_NEGATIVA", INDEX(tbl_vendas564[Tipo_Erro], ROW()-ROW(tbl_vendas564[#Headers])))), 0, 1)</f>
        <v>1</v>
      </c>
      <c r="J101" cm="1">
        <f t="array" ref="J101">IF(ISERR(FIND("QUANTIDADE_VAZIA", INDEX(tbl_vendas564[Tipo_Erro], ROW()-ROW(tbl_vendas564[#Headers])))), 0, 1)</f>
        <v>1</v>
      </c>
      <c r="K101" cm="1">
        <f t="array" ref="K101">IF(ISERR(FIND("CIDADE_VAZIA", INDEX(tbl_vendas564[Tipo_Erro], ROW()-ROW(tbl_vendas564[#Headers])))), 0, 1)</f>
        <v>1</v>
      </c>
      <c r="L101" s="1" t="s">
        <v>109</v>
      </c>
      <c r="N101" t="s">
        <v>47</v>
      </c>
      <c r="O101">
        <v>-3</v>
      </c>
      <c r="P101" s="2">
        <v>-10</v>
      </c>
      <c r="Q101" s="3" t="str">
        <f t="shared" si="10"/>
        <v/>
      </c>
    </row>
    <row r="102" spans="1:18" x14ac:dyDescent="0.25">
      <c r="A102">
        <f t="shared" si="11"/>
        <v>100</v>
      </c>
      <c r="B102">
        <v>103</v>
      </c>
      <c r="C102" t="str">
        <f t="shared" si="12"/>
        <v>COMPLETA</v>
      </c>
      <c r="D102" t="str">
        <f t="shared" si="13"/>
        <v>ERRO</v>
      </c>
      <c r="E102" t="str">
        <f t="shared" si="9"/>
        <v/>
      </c>
      <c r="F102" cm="1">
        <f t="array" ref="F102">IF(ISERR(FIND("PRECO_VAZIA", INDEX(tbl_vendas564[Tipo_Erro], ROW()-ROW(tbl_vendas564[#Headers])))), 0, 1)</f>
        <v>0</v>
      </c>
      <c r="G102" cm="1">
        <f t="array" ref="G102">IF(ISERR(FIND("PRODUTO_VAZIA", INDEX(tbl_vendas564[Tipo_Erro], ROW()-ROW(tbl_vendas564[#Headers])))), 0, 1)</f>
        <v>0</v>
      </c>
      <c r="H102" cm="1">
        <f t="array" ref="H102">IF(ISERR(FIND("CLIENTE_VAZIA", INDEX(tbl_vendas564[Tipo_Erro], ROW()-ROW(tbl_vendas564[#Headers])))), 0, 1)</f>
        <v>0</v>
      </c>
      <c r="I102" cm="1">
        <f t="array" ref="I102">IF(ISERR(FIND("QUANTIDADE_NEGATIVA", INDEX(tbl_vendas564[Tipo_Erro], ROW()-ROW(tbl_vendas564[#Headers])))), 0, 1)</f>
        <v>0</v>
      </c>
      <c r="J102" cm="1">
        <f t="array" ref="J102">IF(ISERR(FIND("QUANTIDADE_VAZIA", INDEX(tbl_vendas564[Tipo_Erro], ROW()-ROW(tbl_vendas564[#Headers])))), 0, 1)</f>
        <v>0</v>
      </c>
      <c r="K102" cm="1">
        <f t="array" ref="K102">IF(ISERR(FIND("CIDADE_VAZIA", INDEX(tbl_vendas564[Tipo_Erro], ROW()-ROW(tbl_vendas564[#Headers])))), 0, 1)</f>
        <v>0</v>
      </c>
      <c r="L102" s="1" t="s">
        <v>18</v>
      </c>
      <c r="M102" t="s">
        <v>33</v>
      </c>
      <c r="N102" t="s">
        <v>15</v>
      </c>
      <c r="O102">
        <v>16</v>
      </c>
      <c r="P102" s="2" t="s">
        <v>35</v>
      </c>
      <c r="Q102" s="3" t="str">
        <f t="shared" si="10"/>
        <v>R$ 30</v>
      </c>
      <c r="R102" t="s">
        <v>21</v>
      </c>
    </row>
    <row r="103" spans="1:18" x14ac:dyDescent="0.25">
      <c r="A103">
        <f t="shared" si="11"/>
        <v>101</v>
      </c>
      <c r="B103">
        <v>104</v>
      </c>
      <c r="C103" t="str">
        <f t="shared" si="12"/>
        <v>INCOMPLETA</v>
      </c>
      <c r="D103" t="str">
        <f t="shared" si="13"/>
        <v>ERRO</v>
      </c>
      <c r="E103" t="str">
        <f t="shared" si="9"/>
        <v>PRECO_VAZIA</v>
      </c>
      <c r="F103" cm="1">
        <f t="array" ref="F103">IF(ISERR(FIND("PRECO_VAZIA", INDEX(tbl_vendas564[Tipo_Erro], ROW()-ROW(tbl_vendas564[#Headers])))), 0, 1)</f>
        <v>1</v>
      </c>
      <c r="G103" cm="1">
        <f t="array" ref="G103">IF(ISERR(FIND("PRODUTO_VAZIA", INDEX(tbl_vendas564[Tipo_Erro], ROW()-ROW(tbl_vendas564[#Headers])))), 0, 1)</f>
        <v>0</v>
      </c>
      <c r="H103" cm="1">
        <f t="array" ref="H103">IF(ISERR(FIND("CLIENTE_VAZIA", INDEX(tbl_vendas564[Tipo_Erro], ROW()-ROW(tbl_vendas564[#Headers])))), 0, 1)</f>
        <v>0</v>
      </c>
      <c r="I103" cm="1">
        <f t="array" ref="I103">IF(ISERR(FIND("QUANTIDADE_NEGATIVA", INDEX(tbl_vendas564[Tipo_Erro], ROW()-ROW(tbl_vendas564[#Headers])))), 0, 1)</f>
        <v>0</v>
      </c>
      <c r="J103" cm="1">
        <f t="array" ref="J103">IF(ISERR(FIND("QUANTIDADE_VAZIA", INDEX(tbl_vendas564[Tipo_Erro], ROW()-ROW(tbl_vendas564[#Headers])))), 0, 1)</f>
        <v>0</v>
      </c>
      <c r="K103" cm="1">
        <f t="array" ref="K103">IF(ISERR(FIND("CIDADE_VAZIA", INDEX(tbl_vendas564[Tipo_Erro], ROW()-ROW(tbl_vendas564[#Headers])))), 0, 1)</f>
        <v>0</v>
      </c>
      <c r="L103" s="1" t="s">
        <v>91</v>
      </c>
      <c r="M103" t="s">
        <v>26</v>
      </c>
      <c r="N103" t="s">
        <v>23</v>
      </c>
      <c r="O103">
        <v>15</v>
      </c>
      <c r="P103" s="2"/>
      <c r="Q103" s="3" t="str">
        <f t="shared" si="10"/>
        <v/>
      </c>
      <c r="R103" t="s">
        <v>49</v>
      </c>
    </row>
    <row r="104" spans="1:18" x14ac:dyDescent="0.25">
      <c r="A104">
        <f t="shared" si="11"/>
        <v>102</v>
      </c>
      <c r="B104">
        <v>104</v>
      </c>
      <c r="C104" t="str">
        <f t="shared" si="12"/>
        <v>INCOMPLETA</v>
      </c>
      <c r="D104" t="str">
        <f t="shared" si="13"/>
        <v>ERRO</v>
      </c>
      <c r="E104" t="str">
        <f t="shared" si="9"/>
        <v>PRECO_VAZIA; PRODUTO_VAZIA; CIDADE_VAZIA</v>
      </c>
      <c r="F104" cm="1">
        <f t="array" ref="F104">IF(ISERR(FIND("PRECO_VAZIA", INDEX(tbl_vendas564[Tipo_Erro], ROW()-ROW(tbl_vendas564[#Headers])))), 0, 1)</f>
        <v>1</v>
      </c>
      <c r="G104" cm="1">
        <f t="array" ref="G104">IF(ISERR(FIND("PRODUTO_VAZIA", INDEX(tbl_vendas564[Tipo_Erro], ROW()-ROW(tbl_vendas564[#Headers])))), 0, 1)</f>
        <v>1</v>
      </c>
      <c r="H104" cm="1">
        <f t="array" ref="H104">IF(ISERR(FIND("CLIENTE_VAZIA", INDEX(tbl_vendas564[Tipo_Erro], ROW()-ROW(tbl_vendas564[#Headers])))), 0, 1)</f>
        <v>0</v>
      </c>
      <c r="I104" cm="1">
        <f t="array" ref="I104">IF(ISERR(FIND("QUANTIDADE_NEGATIVA", INDEX(tbl_vendas564[Tipo_Erro], ROW()-ROW(tbl_vendas564[#Headers])))), 0, 1)</f>
        <v>0</v>
      </c>
      <c r="J104" cm="1">
        <f t="array" ref="J104">IF(ISERR(FIND("QUANTIDADE_VAZIA", INDEX(tbl_vendas564[Tipo_Erro], ROW()-ROW(tbl_vendas564[#Headers])))), 0, 1)</f>
        <v>0</v>
      </c>
      <c r="K104" cm="1">
        <f t="array" ref="K104">IF(ISERR(FIND("CIDADE_VAZIA", INDEX(tbl_vendas564[Tipo_Erro], ROW()-ROW(tbl_vendas564[#Headers])))), 0, 1)</f>
        <v>1</v>
      </c>
      <c r="L104" s="1" t="s">
        <v>42</v>
      </c>
      <c r="M104" t="s">
        <v>12</v>
      </c>
      <c r="O104">
        <v>15</v>
      </c>
      <c r="P104" s="2">
        <v>-10</v>
      </c>
      <c r="Q104" s="3" t="str">
        <f t="shared" si="10"/>
        <v/>
      </c>
    </row>
    <row r="105" spans="1:18" x14ac:dyDescent="0.25">
      <c r="A105">
        <f t="shared" si="11"/>
        <v>103</v>
      </c>
      <c r="B105">
        <v>105</v>
      </c>
      <c r="C105" t="str">
        <f t="shared" si="12"/>
        <v>INCOMPLETA</v>
      </c>
      <c r="D105" t="str">
        <f t="shared" si="13"/>
        <v>ERRO</v>
      </c>
      <c r="E105" t="str">
        <f t="shared" si="9"/>
        <v>QUANTIDADE_NEGATIVA; CIDADE_VAZIA</v>
      </c>
      <c r="F105" cm="1">
        <f t="array" ref="F105">IF(ISERR(FIND("PRECO_VAZIA", INDEX(tbl_vendas564[Tipo_Erro], ROW()-ROW(tbl_vendas564[#Headers])))), 0, 1)</f>
        <v>0</v>
      </c>
      <c r="G105" cm="1">
        <f t="array" ref="G105">IF(ISERR(FIND("PRODUTO_VAZIA", INDEX(tbl_vendas564[Tipo_Erro], ROW()-ROW(tbl_vendas564[#Headers])))), 0, 1)</f>
        <v>0</v>
      </c>
      <c r="H105" cm="1">
        <f t="array" ref="H105">IF(ISERR(FIND("CLIENTE_VAZIA", INDEX(tbl_vendas564[Tipo_Erro], ROW()-ROW(tbl_vendas564[#Headers])))), 0, 1)</f>
        <v>0</v>
      </c>
      <c r="I105" cm="1">
        <f t="array" ref="I105">IF(ISERR(FIND("QUANTIDADE_NEGATIVA", INDEX(tbl_vendas564[Tipo_Erro], ROW()-ROW(tbl_vendas564[#Headers])))), 0, 1)</f>
        <v>1</v>
      </c>
      <c r="J105" cm="1">
        <f t="array" ref="J105">IF(ISERR(FIND("QUANTIDADE_VAZIA", INDEX(tbl_vendas564[Tipo_Erro], ROW()-ROW(tbl_vendas564[#Headers])))), 0, 1)</f>
        <v>0</v>
      </c>
      <c r="K105" cm="1">
        <f t="array" ref="K105">IF(ISERR(FIND("CIDADE_VAZIA", INDEX(tbl_vendas564[Tipo_Erro], ROW()-ROW(tbl_vendas564[#Headers])))), 0, 1)</f>
        <v>1</v>
      </c>
      <c r="L105" s="1" t="s">
        <v>110</v>
      </c>
      <c r="M105" t="s">
        <v>33</v>
      </c>
      <c r="N105" t="s">
        <v>53</v>
      </c>
      <c r="O105">
        <v>-3</v>
      </c>
      <c r="P105" s="2" t="s">
        <v>35</v>
      </c>
      <c r="Q105" s="3" t="str">
        <f t="shared" si="10"/>
        <v>R$ 30</v>
      </c>
    </row>
    <row r="106" spans="1:18" x14ac:dyDescent="0.25">
      <c r="A106">
        <f t="shared" si="11"/>
        <v>104</v>
      </c>
      <c r="B106">
        <v>106</v>
      </c>
      <c r="C106" t="str">
        <f t="shared" si="12"/>
        <v>INCOMPLETA</v>
      </c>
      <c r="D106" t="str">
        <f t="shared" si="13"/>
        <v>ERRO</v>
      </c>
      <c r="E106" t="str">
        <f t="shared" si="9"/>
        <v>PRECO_VAZIA; CIDADE_VAZIA</v>
      </c>
      <c r="F106" cm="1">
        <f t="array" ref="F106">IF(ISERR(FIND("PRECO_VAZIA", INDEX(tbl_vendas564[Tipo_Erro], ROW()-ROW(tbl_vendas564[#Headers])))), 0, 1)</f>
        <v>1</v>
      </c>
      <c r="G106" cm="1">
        <f t="array" ref="G106">IF(ISERR(FIND("PRODUTO_VAZIA", INDEX(tbl_vendas564[Tipo_Erro], ROW()-ROW(tbl_vendas564[#Headers])))), 0, 1)</f>
        <v>0</v>
      </c>
      <c r="H106" cm="1">
        <f t="array" ref="H106">IF(ISERR(FIND("CLIENTE_VAZIA", INDEX(tbl_vendas564[Tipo_Erro], ROW()-ROW(tbl_vendas564[#Headers])))), 0, 1)</f>
        <v>0</v>
      </c>
      <c r="I106" cm="1">
        <f t="array" ref="I106">IF(ISERR(FIND("QUANTIDADE_NEGATIVA", INDEX(tbl_vendas564[Tipo_Erro], ROW()-ROW(tbl_vendas564[#Headers])))), 0, 1)</f>
        <v>0</v>
      </c>
      <c r="J106" cm="1">
        <f t="array" ref="J106">IF(ISERR(FIND("QUANTIDADE_VAZIA", INDEX(tbl_vendas564[Tipo_Erro], ROW()-ROW(tbl_vendas564[#Headers])))), 0, 1)</f>
        <v>0</v>
      </c>
      <c r="K106" cm="1">
        <f t="array" ref="K106">IF(ISERR(FIND("CIDADE_VAZIA", INDEX(tbl_vendas564[Tipo_Erro], ROW()-ROW(tbl_vendas564[#Headers])))), 0, 1)</f>
        <v>1</v>
      </c>
      <c r="L106" s="1" t="s">
        <v>18</v>
      </c>
      <c r="M106" t="s">
        <v>8</v>
      </c>
      <c r="N106" t="s">
        <v>31</v>
      </c>
      <c r="O106">
        <v>18</v>
      </c>
      <c r="P106" s="2"/>
      <c r="Q106" s="3" t="str">
        <f t="shared" si="10"/>
        <v/>
      </c>
    </row>
    <row r="107" spans="1:18" x14ac:dyDescent="0.25">
      <c r="A107">
        <f t="shared" si="11"/>
        <v>105</v>
      </c>
      <c r="B107">
        <v>107</v>
      </c>
      <c r="C107" t="str">
        <f t="shared" si="12"/>
        <v>INCOMPLETA</v>
      </c>
      <c r="D107" t="str">
        <f t="shared" si="13"/>
        <v>ERRO</v>
      </c>
      <c r="E107" t="str">
        <f t="shared" si="9"/>
        <v>QUANTIDADE_VAZIA; QUANTIDADE_NEGATIVA; CLIENTE_VAZIA</v>
      </c>
      <c r="F107" cm="1">
        <f t="array" ref="F107">IF(ISERR(FIND("PRECO_VAZIA", INDEX(tbl_vendas564[Tipo_Erro], ROW()-ROW(tbl_vendas564[#Headers])))), 0, 1)</f>
        <v>0</v>
      </c>
      <c r="G107" cm="1">
        <f t="array" ref="G107">IF(ISERR(FIND("PRODUTO_VAZIA", INDEX(tbl_vendas564[Tipo_Erro], ROW()-ROW(tbl_vendas564[#Headers])))), 0, 1)</f>
        <v>0</v>
      </c>
      <c r="H107" cm="1">
        <f t="array" ref="H107">IF(ISERR(FIND("CLIENTE_VAZIA", INDEX(tbl_vendas564[Tipo_Erro], ROW()-ROW(tbl_vendas564[#Headers])))), 0, 1)</f>
        <v>1</v>
      </c>
      <c r="I107" cm="1">
        <f t="array" ref="I107">IF(ISERR(FIND("QUANTIDADE_NEGATIVA", INDEX(tbl_vendas564[Tipo_Erro], ROW()-ROW(tbl_vendas564[#Headers])))), 0, 1)</f>
        <v>1</v>
      </c>
      <c r="J107" cm="1">
        <f t="array" ref="J107">IF(ISERR(FIND("QUANTIDADE_VAZIA", INDEX(tbl_vendas564[Tipo_Erro], ROW()-ROW(tbl_vendas564[#Headers])))), 0, 1)</f>
        <v>1</v>
      </c>
      <c r="K107" cm="1">
        <f t="array" ref="K107">IF(ISERR(FIND("CIDADE_VAZIA", INDEX(tbl_vendas564[Tipo_Erro], ROW()-ROW(tbl_vendas564[#Headers])))), 0, 1)</f>
        <v>0</v>
      </c>
      <c r="L107" s="1" t="s">
        <v>80</v>
      </c>
      <c r="N107" t="s">
        <v>37</v>
      </c>
      <c r="O107">
        <v>-3</v>
      </c>
      <c r="P107" s="2" t="s">
        <v>35</v>
      </c>
      <c r="Q107" s="3" t="str">
        <f t="shared" si="10"/>
        <v>R$ 30</v>
      </c>
      <c r="R107" t="s">
        <v>17</v>
      </c>
    </row>
    <row r="108" spans="1:18" x14ac:dyDescent="0.25">
      <c r="A108">
        <f t="shared" si="11"/>
        <v>106</v>
      </c>
      <c r="B108">
        <v>107</v>
      </c>
      <c r="C108" t="str">
        <f t="shared" si="12"/>
        <v>COMPLETA</v>
      </c>
      <c r="D108" t="str">
        <f t="shared" si="13"/>
        <v>OK</v>
      </c>
      <c r="E108" t="str">
        <f t="shared" si="9"/>
        <v/>
      </c>
      <c r="F108" cm="1">
        <f t="array" ref="F108">IF(ISERR(FIND("PRECO_VAZIA", INDEX(tbl_vendas564[Tipo_Erro], ROW()-ROW(tbl_vendas564[#Headers])))), 0, 1)</f>
        <v>0</v>
      </c>
      <c r="G108" cm="1">
        <f t="array" ref="G108">IF(ISERR(FIND("PRODUTO_VAZIA", INDEX(tbl_vendas564[Tipo_Erro], ROW()-ROW(tbl_vendas564[#Headers])))), 0, 1)</f>
        <v>0</v>
      </c>
      <c r="H108" cm="1">
        <f t="array" ref="H108">IF(ISERR(FIND("CLIENTE_VAZIA", INDEX(tbl_vendas564[Tipo_Erro], ROW()-ROW(tbl_vendas564[#Headers])))), 0, 1)</f>
        <v>0</v>
      </c>
      <c r="I108" cm="1">
        <f t="array" ref="I108">IF(ISERR(FIND("QUANTIDADE_NEGATIVA", INDEX(tbl_vendas564[Tipo_Erro], ROW()-ROW(tbl_vendas564[#Headers])))), 0, 1)</f>
        <v>0</v>
      </c>
      <c r="J108" cm="1">
        <f t="array" ref="J108">IF(ISERR(FIND("QUANTIDADE_VAZIA", INDEX(tbl_vendas564[Tipo_Erro], ROW()-ROW(tbl_vendas564[#Headers])))), 0, 1)</f>
        <v>0</v>
      </c>
      <c r="K108" cm="1">
        <f t="array" ref="K108">IF(ISERR(FIND("CIDADE_VAZIA", INDEX(tbl_vendas564[Tipo_Erro], ROW()-ROW(tbl_vendas564[#Headers])))), 0, 1)</f>
        <v>0</v>
      </c>
      <c r="L108" t="s">
        <v>111</v>
      </c>
      <c r="M108" t="s">
        <v>26</v>
      </c>
      <c r="N108" t="s">
        <v>23</v>
      </c>
      <c r="O108">
        <v>14</v>
      </c>
      <c r="P108">
        <v>382.58</v>
      </c>
      <c r="Q108" s="3">
        <f t="shared" si="10"/>
        <v>382.58</v>
      </c>
      <c r="R108" t="s">
        <v>49</v>
      </c>
    </row>
    <row r="109" spans="1:18" x14ac:dyDescent="0.25">
      <c r="A109">
        <f t="shared" si="11"/>
        <v>107</v>
      </c>
      <c r="B109">
        <v>108</v>
      </c>
      <c r="C109" t="str">
        <f t="shared" si="12"/>
        <v>COMPLETA</v>
      </c>
      <c r="D109" t="str">
        <f t="shared" si="13"/>
        <v>ERRO</v>
      </c>
      <c r="E109" t="str">
        <f t="shared" si="9"/>
        <v/>
      </c>
      <c r="F109" cm="1">
        <f t="array" ref="F109">IF(ISERR(FIND("PRECO_VAZIA", INDEX(tbl_vendas564[Tipo_Erro], ROW()-ROW(tbl_vendas564[#Headers])))), 0, 1)</f>
        <v>0</v>
      </c>
      <c r="G109" cm="1">
        <f t="array" ref="G109">IF(ISERR(FIND("PRODUTO_VAZIA", INDEX(tbl_vendas564[Tipo_Erro], ROW()-ROW(tbl_vendas564[#Headers])))), 0, 1)</f>
        <v>0</v>
      </c>
      <c r="H109" cm="1">
        <f t="array" ref="H109">IF(ISERR(FIND("CLIENTE_VAZIA", INDEX(tbl_vendas564[Tipo_Erro], ROW()-ROW(tbl_vendas564[#Headers])))), 0, 1)</f>
        <v>0</v>
      </c>
      <c r="I109" cm="1">
        <f t="array" ref="I109">IF(ISERR(FIND("QUANTIDADE_NEGATIVA", INDEX(tbl_vendas564[Tipo_Erro], ROW()-ROW(tbl_vendas564[#Headers])))), 0, 1)</f>
        <v>0</v>
      </c>
      <c r="J109" cm="1">
        <f t="array" ref="J109">IF(ISERR(FIND("QUANTIDADE_VAZIA", INDEX(tbl_vendas564[Tipo_Erro], ROW()-ROW(tbl_vendas564[#Headers])))), 0, 1)</f>
        <v>0</v>
      </c>
      <c r="K109" cm="1">
        <f t="array" ref="K109">IF(ISERR(FIND("CIDADE_VAZIA", INDEX(tbl_vendas564[Tipo_Erro], ROW()-ROW(tbl_vendas564[#Headers])))), 0, 1)</f>
        <v>0</v>
      </c>
      <c r="L109" s="1" t="s">
        <v>58</v>
      </c>
      <c r="M109" t="s">
        <v>12</v>
      </c>
      <c r="N109" t="s">
        <v>37</v>
      </c>
      <c r="O109">
        <v>11</v>
      </c>
      <c r="P109" s="2" t="s">
        <v>35</v>
      </c>
      <c r="Q109" s="3" t="str">
        <f t="shared" si="10"/>
        <v>R$ 30</v>
      </c>
      <c r="R109" t="s">
        <v>49</v>
      </c>
    </row>
    <row r="110" spans="1:18" x14ac:dyDescent="0.25">
      <c r="A110">
        <f t="shared" si="11"/>
        <v>108</v>
      </c>
      <c r="B110">
        <v>109</v>
      </c>
      <c r="C110" t="str">
        <f t="shared" si="12"/>
        <v>INCOMPLETA</v>
      </c>
      <c r="D110" t="str">
        <f t="shared" si="13"/>
        <v>ERRO</v>
      </c>
      <c r="E110" t="str">
        <f t="shared" si="9"/>
        <v>PRECO_VAZIA</v>
      </c>
      <c r="F110" cm="1">
        <f t="array" ref="F110">IF(ISERR(FIND("PRECO_VAZIA", INDEX(tbl_vendas564[Tipo_Erro], ROW()-ROW(tbl_vendas564[#Headers])))), 0, 1)</f>
        <v>1</v>
      </c>
      <c r="G110" cm="1">
        <f t="array" ref="G110">IF(ISERR(FIND("PRODUTO_VAZIA", INDEX(tbl_vendas564[Tipo_Erro], ROW()-ROW(tbl_vendas564[#Headers])))), 0, 1)</f>
        <v>0</v>
      </c>
      <c r="H110" cm="1">
        <f t="array" ref="H110">IF(ISERR(FIND("CLIENTE_VAZIA", INDEX(tbl_vendas564[Tipo_Erro], ROW()-ROW(tbl_vendas564[#Headers])))), 0, 1)</f>
        <v>0</v>
      </c>
      <c r="I110" cm="1">
        <f t="array" ref="I110">IF(ISERR(FIND("QUANTIDADE_NEGATIVA", INDEX(tbl_vendas564[Tipo_Erro], ROW()-ROW(tbl_vendas564[#Headers])))), 0, 1)</f>
        <v>0</v>
      </c>
      <c r="J110" cm="1">
        <f t="array" ref="J110">IF(ISERR(FIND("QUANTIDADE_VAZIA", INDEX(tbl_vendas564[Tipo_Erro], ROW()-ROW(tbl_vendas564[#Headers])))), 0, 1)</f>
        <v>0</v>
      </c>
      <c r="K110" cm="1">
        <f t="array" ref="K110">IF(ISERR(FIND("CIDADE_VAZIA", INDEX(tbl_vendas564[Tipo_Erro], ROW()-ROW(tbl_vendas564[#Headers])))), 0, 1)</f>
        <v>0</v>
      </c>
      <c r="L110" s="1" t="s">
        <v>55</v>
      </c>
      <c r="M110" t="s">
        <v>33</v>
      </c>
      <c r="N110" t="s">
        <v>15</v>
      </c>
      <c r="P110" s="2">
        <v>-10</v>
      </c>
      <c r="Q110" s="3" t="str">
        <f t="shared" si="10"/>
        <v/>
      </c>
      <c r="R110" t="s">
        <v>10</v>
      </c>
    </row>
    <row r="111" spans="1:18" x14ac:dyDescent="0.25">
      <c r="A111">
        <f t="shared" si="11"/>
        <v>109</v>
      </c>
      <c r="B111">
        <v>110</v>
      </c>
      <c r="C111" t="str">
        <f t="shared" si="12"/>
        <v>COMPLETA</v>
      </c>
      <c r="D111" t="str">
        <f t="shared" si="13"/>
        <v>OK</v>
      </c>
      <c r="E111" t="str">
        <f t="shared" si="9"/>
        <v/>
      </c>
      <c r="F111" cm="1">
        <f t="array" ref="F111">IF(ISERR(FIND("PRECO_VAZIA", INDEX(tbl_vendas564[Tipo_Erro], ROW()-ROW(tbl_vendas564[#Headers])))), 0, 1)</f>
        <v>0</v>
      </c>
      <c r="G111" cm="1">
        <f t="array" ref="G111">IF(ISERR(FIND("PRODUTO_VAZIA", INDEX(tbl_vendas564[Tipo_Erro], ROW()-ROW(tbl_vendas564[#Headers])))), 0, 1)</f>
        <v>0</v>
      </c>
      <c r="H111" cm="1">
        <f t="array" ref="H111">IF(ISERR(FIND("CLIENTE_VAZIA", INDEX(tbl_vendas564[Tipo_Erro], ROW()-ROW(tbl_vendas564[#Headers])))), 0, 1)</f>
        <v>0</v>
      </c>
      <c r="I111" cm="1">
        <f t="array" ref="I111">IF(ISERR(FIND("QUANTIDADE_NEGATIVA", INDEX(tbl_vendas564[Tipo_Erro], ROW()-ROW(tbl_vendas564[#Headers])))), 0, 1)</f>
        <v>0</v>
      </c>
      <c r="J111" cm="1">
        <f t="array" ref="J111">IF(ISERR(FIND("QUANTIDADE_VAZIA", INDEX(tbl_vendas564[Tipo_Erro], ROW()-ROW(tbl_vendas564[#Headers])))), 0, 1)</f>
        <v>0</v>
      </c>
      <c r="K111" cm="1">
        <f t="array" ref="K111">IF(ISERR(FIND("CIDADE_VAZIA", INDEX(tbl_vendas564[Tipo_Erro], ROW()-ROW(tbl_vendas564[#Headers])))), 0, 1)</f>
        <v>0</v>
      </c>
      <c r="L111" t="s">
        <v>46</v>
      </c>
      <c r="M111" t="s">
        <v>33</v>
      </c>
      <c r="N111" t="s">
        <v>47</v>
      </c>
      <c r="O111">
        <v>15</v>
      </c>
      <c r="P111">
        <v>339.95</v>
      </c>
      <c r="Q111" s="3">
        <f t="shared" si="10"/>
        <v>339.95</v>
      </c>
      <c r="R111" t="s">
        <v>21</v>
      </c>
    </row>
    <row r="112" spans="1:18" x14ac:dyDescent="0.25">
      <c r="A112">
        <f t="shared" si="11"/>
        <v>110</v>
      </c>
      <c r="B112">
        <v>110</v>
      </c>
      <c r="C112" t="str">
        <f t="shared" si="12"/>
        <v>INCOMPLETA</v>
      </c>
      <c r="D112" t="str">
        <f t="shared" si="13"/>
        <v>ERRO</v>
      </c>
      <c r="E112" t="str">
        <f t="shared" si="9"/>
        <v>QUANTIDADE_VAZIA; QUANTIDADE_NEGATIVA; PRECO_VAZIA; CLIENTE_VAZIA</v>
      </c>
      <c r="F112" cm="1">
        <f t="array" ref="F112">IF(ISERR(FIND("PRECO_VAZIA", INDEX(tbl_vendas564[Tipo_Erro], ROW()-ROW(tbl_vendas564[#Headers])))), 0, 1)</f>
        <v>1</v>
      </c>
      <c r="G112" cm="1">
        <f t="array" ref="G112">IF(ISERR(FIND("PRODUTO_VAZIA", INDEX(tbl_vendas564[Tipo_Erro], ROW()-ROW(tbl_vendas564[#Headers])))), 0, 1)</f>
        <v>0</v>
      </c>
      <c r="H112" cm="1">
        <f t="array" ref="H112">IF(ISERR(FIND("CLIENTE_VAZIA", INDEX(tbl_vendas564[Tipo_Erro], ROW()-ROW(tbl_vendas564[#Headers])))), 0, 1)</f>
        <v>1</v>
      </c>
      <c r="I112" cm="1">
        <f t="array" ref="I112">IF(ISERR(FIND("QUANTIDADE_NEGATIVA", INDEX(tbl_vendas564[Tipo_Erro], ROW()-ROW(tbl_vendas564[#Headers])))), 0, 1)</f>
        <v>1</v>
      </c>
      <c r="J112" cm="1">
        <f t="array" ref="J112">IF(ISERR(FIND("QUANTIDADE_VAZIA", INDEX(tbl_vendas564[Tipo_Erro], ROW()-ROW(tbl_vendas564[#Headers])))), 0, 1)</f>
        <v>1</v>
      </c>
      <c r="K112" cm="1">
        <f t="array" ref="K112">IF(ISERR(FIND("CIDADE_VAZIA", INDEX(tbl_vendas564[Tipo_Erro], ROW()-ROW(tbl_vendas564[#Headers])))), 0, 1)</f>
        <v>0</v>
      </c>
      <c r="L112" s="1" t="s">
        <v>112</v>
      </c>
      <c r="N112" t="s">
        <v>15</v>
      </c>
      <c r="O112">
        <v>-3</v>
      </c>
      <c r="P112" s="2">
        <v>-10</v>
      </c>
      <c r="Q112" s="3" t="str">
        <f t="shared" si="10"/>
        <v/>
      </c>
      <c r="R112" t="s">
        <v>17</v>
      </c>
    </row>
    <row r="113" spans="1:18" x14ac:dyDescent="0.25">
      <c r="A113">
        <f t="shared" si="11"/>
        <v>111</v>
      </c>
      <c r="B113">
        <v>111</v>
      </c>
      <c r="C113" t="str">
        <f t="shared" si="12"/>
        <v>INCOMPLETA</v>
      </c>
      <c r="D113" t="str">
        <f t="shared" si="13"/>
        <v>ERRO</v>
      </c>
      <c r="E113" t="str">
        <f t="shared" si="9"/>
        <v>QUANTIDADE_VAZIA; CLIENTE_VAZIA; PRODUTO_VAZIA</v>
      </c>
      <c r="F113" cm="1">
        <f t="array" ref="F113">IF(ISERR(FIND("PRECO_VAZIA", INDEX(tbl_vendas564[Tipo_Erro], ROW()-ROW(tbl_vendas564[#Headers])))), 0, 1)</f>
        <v>0</v>
      </c>
      <c r="G113" cm="1">
        <f t="array" ref="G113">IF(ISERR(FIND("PRODUTO_VAZIA", INDEX(tbl_vendas564[Tipo_Erro], ROW()-ROW(tbl_vendas564[#Headers])))), 0, 1)</f>
        <v>1</v>
      </c>
      <c r="H113" cm="1">
        <f t="array" ref="H113">IF(ISERR(FIND("CLIENTE_VAZIA", INDEX(tbl_vendas564[Tipo_Erro], ROW()-ROW(tbl_vendas564[#Headers])))), 0, 1)</f>
        <v>1</v>
      </c>
      <c r="I113" cm="1">
        <f t="array" ref="I113">IF(ISERR(FIND("QUANTIDADE_NEGATIVA", INDEX(tbl_vendas564[Tipo_Erro], ROW()-ROW(tbl_vendas564[#Headers])))), 0, 1)</f>
        <v>0</v>
      </c>
      <c r="J113" cm="1">
        <f t="array" ref="J113">IF(ISERR(FIND("QUANTIDADE_VAZIA", INDEX(tbl_vendas564[Tipo_Erro], ROW()-ROW(tbl_vendas564[#Headers])))), 0, 1)</f>
        <v>1</v>
      </c>
      <c r="K113" cm="1">
        <f t="array" ref="K113">IF(ISERR(FIND("CIDADE_VAZIA", INDEX(tbl_vendas564[Tipo_Erro], ROW()-ROW(tbl_vendas564[#Headers])))), 0, 1)</f>
        <v>0</v>
      </c>
      <c r="L113" s="1" t="s">
        <v>52</v>
      </c>
      <c r="O113">
        <v>10</v>
      </c>
      <c r="P113" s="2" t="s">
        <v>35</v>
      </c>
      <c r="Q113" s="3" t="str">
        <f t="shared" si="10"/>
        <v>R$ 30</v>
      </c>
      <c r="R113" t="s">
        <v>10</v>
      </c>
    </row>
    <row r="114" spans="1:18" x14ac:dyDescent="0.25">
      <c r="A114">
        <f t="shared" si="11"/>
        <v>112</v>
      </c>
      <c r="B114">
        <v>111</v>
      </c>
      <c r="C114" t="str">
        <f t="shared" si="12"/>
        <v>INCOMPLETA</v>
      </c>
      <c r="D114" t="str">
        <f t="shared" si="13"/>
        <v>ERRO</v>
      </c>
      <c r="E114" t="str">
        <f t="shared" si="9"/>
        <v>PRODUTO_VAZIA</v>
      </c>
      <c r="F114" cm="1">
        <f t="array" ref="F114">IF(ISERR(FIND("PRECO_VAZIA", INDEX(tbl_vendas564[Tipo_Erro], ROW()-ROW(tbl_vendas564[#Headers])))), 0, 1)</f>
        <v>0</v>
      </c>
      <c r="G114" cm="1">
        <f t="array" ref="G114">IF(ISERR(FIND("PRODUTO_VAZIA", INDEX(tbl_vendas564[Tipo_Erro], ROW()-ROW(tbl_vendas564[#Headers])))), 0, 1)</f>
        <v>1</v>
      </c>
      <c r="H114" cm="1">
        <f t="array" ref="H114">IF(ISERR(FIND("CLIENTE_VAZIA", INDEX(tbl_vendas564[Tipo_Erro], ROW()-ROW(tbl_vendas564[#Headers])))), 0, 1)</f>
        <v>0</v>
      </c>
      <c r="I114" cm="1">
        <f t="array" ref="I114">IF(ISERR(FIND("QUANTIDADE_NEGATIVA", INDEX(tbl_vendas564[Tipo_Erro], ROW()-ROW(tbl_vendas564[#Headers])))), 0, 1)</f>
        <v>0</v>
      </c>
      <c r="J114" cm="1">
        <f t="array" ref="J114">IF(ISERR(FIND("QUANTIDADE_VAZIA", INDEX(tbl_vendas564[Tipo_Erro], ROW()-ROW(tbl_vendas564[#Headers])))), 0, 1)</f>
        <v>0</v>
      </c>
      <c r="K114" cm="1">
        <f t="array" ref="K114">IF(ISERR(FIND("CIDADE_VAZIA", INDEX(tbl_vendas564[Tipo_Erro], ROW()-ROW(tbl_vendas564[#Headers])))), 0, 1)</f>
        <v>0</v>
      </c>
      <c r="L114" s="1" t="s">
        <v>113</v>
      </c>
      <c r="M114" t="s">
        <v>8</v>
      </c>
      <c r="O114">
        <v>6</v>
      </c>
      <c r="P114" s="2" t="s">
        <v>35</v>
      </c>
      <c r="Q114" s="3" t="str">
        <f t="shared" si="10"/>
        <v>R$ 30</v>
      </c>
      <c r="R114" t="s">
        <v>10</v>
      </c>
    </row>
    <row r="115" spans="1:18" x14ac:dyDescent="0.25">
      <c r="A115">
        <f t="shared" si="11"/>
        <v>113</v>
      </c>
      <c r="B115">
        <v>112</v>
      </c>
      <c r="C115" t="str">
        <f t="shared" si="12"/>
        <v>INCOMPLETA</v>
      </c>
      <c r="D115" t="str">
        <f t="shared" si="13"/>
        <v>ERRO</v>
      </c>
      <c r="E115" t="str">
        <f t="shared" si="9"/>
        <v>PRECO_VAZIA</v>
      </c>
      <c r="F115" cm="1">
        <f t="array" ref="F115">IF(ISERR(FIND("PRECO_VAZIA", INDEX(tbl_vendas564[Tipo_Erro], ROW()-ROW(tbl_vendas564[#Headers])))), 0, 1)</f>
        <v>1</v>
      </c>
      <c r="G115" cm="1">
        <f t="array" ref="G115">IF(ISERR(FIND("PRODUTO_VAZIA", INDEX(tbl_vendas564[Tipo_Erro], ROW()-ROW(tbl_vendas564[#Headers])))), 0, 1)</f>
        <v>0</v>
      </c>
      <c r="H115" cm="1">
        <f t="array" ref="H115">IF(ISERR(FIND("CLIENTE_VAZIA", INDEX(tbl_vendas564[Tipo_Erro], ROW()-ROW(tbl_vendas564[#Headers])))), 0, 1)</f>
        <v>0</v>
      </c>
      <c r="I115" cm="1">
        <f t="array" ref="I115">IF(ISERR(FIND("QUANTIDADE_NEGATIVA", INDEX(tbl_vendas564[Tipo_Erro], ROW()-ROW(tbl_vendas564[#Headers])))), 0, 1)</f>
        <v>0</v>
      </c>
      <c r="J115" cm="1">
        <f t="array" ref="J115">IF(ISERR(FIND("QUANTIDADE_VAZIA", INDEX(tbl_vendas564[Tipo_Erro], ROW()-ROW(tbl_vendas564[#Headers])))), 0, 1)</f>
        <v>0</v>
      </c>
      <c r="K115" cm="1">
        <f t="array" ref="K115">IF(ISERR(FIND("CIDADE_VAZIA", INDEX(tbl_vendas564[Tipo_Erro], ROW()-ROW(tbl_vendas564[#Headers])))), 0, 1)</f>
        <v>0</v>
      </c>
      <c r="L115" s="1" t="s">
        <v>114</v>
      </c>
      <c r="M115" t="s">
        <v>8</v>
      </c>
      <c r="N115" t="s">
        <v>31</v>
      </c>
      <c r="P115" s="2">
        <v>-10</v>
      </c>
      <c r="Q115" s="3" t="str">
        <f t="shared" si="10"/>
        <v/>
      </c>
      <c r="R115" t="s">
        <v>21</v>
      </c>
    </row>
    <row r="116" spans="1:18" x14ac:dyDescent="0.25">
      <c r="A116">
        <f t="shared" si="11"/>
        <v>114</v>
      </c>
      <c r="B116">
        <v>113</v>
      </c>
      <c r="C116" t="str">
        <f t="shared" si="12"/>
        <v>INCOMPLETA</v>
      </c>
      <c r="D116" t="str">
        <f t="shared" si="13"/>
        <v>ERRO</v>
      </c>
      <c r="E116" t="str">
        <f t="shared" si="9"/>
        <v>PRECO_VAZIA</v>
      </c>
      <c r="F116" cm="1">
        <f t="array" ref="F116">IF(ISERR(FIND("PRECO_VAZIA", INDEX(tbl_vendas564[Tipo_Erro], ROW()-ROW(tbl_vendas564[#Headers])))), 0, 1)</f>
        <v>1</v>
      </c>
      <c r="G116" cm="1">
        <f t="array" ref="G116">IF(ISERR(FIND("PRODUTO_VAZIA", INDEX(tbl_vendas564[Tipo_Erro], ROW()-ROW(tbl_vendas564[#Headers])))), 0, 1)</f>
        <v>0</v>
      </c>
      <c r="H116" cm="1">
        <f t="array" ref="H116">IF(ISERR(FIND("CLIENTE_VAZIA", INDEX(tbl_vendas564[Tipo_Erro], ROW()-ROW(tbl_vendas564[#Headers])))), 0, 1)</f>
        <v>0</v>
      </c>
      <c r="I116" cm="1">
        <f t="array" ref="I116">IF(ISERR(FIND("QUANTIDADE_NEGATIVA", INDEX(tbl_vendas564[Tipo_Erro], ROW()-ROW(tbl_vendas564[#Headers])))), 0, 1)</f>
        <v>0</v>
      </c>
      <c r="J116" cm="1">
        <f t="array" ref="J116">IF(ISERR(FIND("QUANTIDADE_VAZIA", INDEX(tbl_vendas564[Tipo_Erro], ROW()-ROW(tbl_vendas564[#Headers])))), 0, 1)</f>
        <v>0</v>
      </c>
      <c r="K116" cm="1">
        <f t="array" ref="K116">IF(ISERR(FIND("CIDADE_VAZIA", INDEX(tbl_vendas564[Tipo_Erro], ROW()-ROW(tbl_vendas564[#Headers])))), 0, 1)</f>
        <v>0</v>
      </c>
      <c r="L116" s="1" t="s">
        <v>45</v>
      </c>
      <c r="M116" t="s">
        <v>8</v>
      </c>
      <c r="N116" t="s">
        <v>53</v>
      </c>
      <c r="O116">
        <v>10</v>
      </c>
      <c r="P116" s="2">
        <v>-10</v>
      </c>
      <c r="Q116" s="3" t="str">
        <f t="shared" si="10"/>
        <v/>
      </c>
      <c r="R116" t="s">
        <v>17</v>
      </c>
    </row>
    <row r="117" spans="1:18" x14ac:dyDescent="0.25">
      <c r="A117">
        <f t="shared" si="11"/>
        <v>115</v>
      </c>
      <c r="B117">
        <v>113</v>
      </c>
      <c r="C117" t="str">
        <f t="shared" si="12"/>
        <v>INCOMPLETA</v>
      </c>
      <c r="D117" t="str">
        <f t="shared" si="13"/>
        <v>ERRO</v>
      </c>
      <c r="E117" t="str">
        <f t="shared" si="9"/>
        <v>QUANTIDADE_NEGATIVA; PRECO_VAZIA</v>
      </c>
      <c r="F117" cm="1">
        <f t="array" ref="F117">IF(ISERR(FIND("PRECO_VAZIA", INDEX(tbl_vendas564[Tipo_Erro], ROW()-ROW(tbl_vendas564[#Headers])))), 0, 1)</f>
        <v>1</v>
      </c>
      <c r="G117" cm="1">
        <f t="array" ref="G117">IF(ISERR(FIND("PRODUTO_VAZIA", INDEX(tbl_vendas564[Tipo_Erro], ROW()-ROW(tbl_vendas564[#Headers])))), 0, 1)</f>
        <v>0</v>
      </c>
      <c r="H117" cm="1">
        <f t="array" ref="H117">IF(ISERR(FIND("CLIENTE_VAZIA", INDEX(tbl_vendas564[Tipo_Erro], ROW()-ROW(tbl_vendas564[#Headers])))), 0, 1)</f>
        <v>0</v>
      </c>
      <c r="I117" cm="1">
        <f t="array" ref="I117">IF(ISERR(FIND("QUANTIDADE_NEGATIVA", INDEX(tbl_vendas564[Tipo_Erro], ROW()-ROW(tbl_vendas564[#Headers])))), 0, 1)</f>
        <v>1</v>
      </c>
      <c r="J117" cm="1">
        <f t="array" ref="J117">IF(ISERR(FIND("QUANTIDADE_VAZIA", INDEX(tbl_vendas564[Tipo_Erro], ROW()-ROW(tbl_vendas564[#Headers])))), 0, 1)</f>
        <v>0</v>
      </c>
      <c r="K117" cm="1">
        <f t="array" ref="K117">IF(ISERR(FIND("CIDADE_VAZIA", INDEX(tbl_vendas564[Tipo_Erro], ROW()-ROW(tbl_vendas564[#Headers])))), 0, 1)</f>
        <v>0</v>
      </c>
      <c r="L117" s="1" t="s">
        <v>81</v>
      </c>
      <c r="M117" t="s">
        <v>33</v>
      </c>
      <c r="N117" t="s">
        <v>31</v>
      </c>
      <c r="O117">
        <v>-3</v>
      </c>
      <c r="P117" s="2"/>
      <c r="Q117" s="3" t="str">
        <f t="shared" si="10"/>
        <v/>
      </c>
      <c r="R117" t="s">
        <v>10</v>
      </c>
    </row>
    <row r="118" spans="1:18" x14ac:dyDescent="0.25">
      <c r="A118">
        <f t="shared" si="11"/>
        <v>116</v>
      </c>
      <c r="B118">
        <v>115</v>
      </c>
      <c r="C118" t="str">
        <f t="shared" si="12"/>
        <v>INCOMPLETA</v>
      </c>
      <c r="D118" t="str">
        <f t="shared" si="13"/>
        <v>ERRO</v>
      </c>
      <c r="E118" t="str">
        <f t="shared" si="9"/>
        <v>PRECO_VAZIA</v>
      </c>
      <c r="F118" cm="1">
        <f t="array" ref="F118">IF(ISERR(FIND("PRECO_VAZIA", INDEX(tbl_vendas564[Tipo_Erro], ROW()-ROW(tbl_vendas564[#Headers])))), 0, 1)</f>
        <v>1</v>
      </c>
      <c r="G118" cm="1">
        <f t="array" ref="G118">IF(ISERR(FIND("PRODUTO_VAZIA", INDEX(tbl_vendas564[Tipo_Erro], ROW()-ROW(tbl_vendas564[#Headers])))), 0, 1)</f>
        <v>0</v>
      </c>
      <c r="H118" cm="1">
        <f t="array" ref="H118">IF(ISERR(FIND("CLIENTE_VAZIA", INDEX(tbl_vendas564[Tipo_Erro], ROW()-ROW(tbl_vendas564[#Headers])))), 0, 1)</f>
        <v>0</v>
      </c>
      <c r="I118" cm="1">
        <f t="array" ref="I118">IF(ISERR(FIND("QUANTIDADE_NEGATIVA", INDEX(tbl_vendas564[Tipo_Erro], ROW()-ROW(tbl_vendas564[#Headers])))), 0, 1)</f>
        <v>0</v>
      </c>
      <c r="J118" cm="1">
        <f t="array" ref="J118">IF(ISERR(FIND("QUANTIDADE_VAZIA", INDEX(tbl_vendas564[Tipo_Erro], ROW()-ROW(tbl_vendas564[#Headers])))), 0, 1)</f>
        <v>0</v>
      </c>
      <c r="K118" cm="1">
        <f t="array" ref="K118">IF(ISERR(FIND("CIDADE_VAZIA", INDEX(tbl_vendas564[Tipo_Erro], ROW()-ROW(tbl_vendas564[#Headers])))), 0, 1)</f>
        <v>0</v>
      </c>
      <c r="L118" s="1" t="s">
        <v>116</v>
      </c>
      <c r="M118" t="s">
        <v>8</v>
      </c>
      <c r="N118" t="s">
        <v>15</v>
      </c>
      <c r="O118">
        <v>4</v>
      </c>
      <c r="P118" s="2">
        <v>-10</v>
      </c>
      <c r="Q118" s="3" t="str">
        <f t="shared" si="10"/>
        <v/>
      </c>
      <c r="R118" t="s">
        <v>21</v>
      </c>
    </row>
    <row r="119" spans="1:18" x14ac:dyDescent="0.25">
      <c r="A119">
        <f t="shared" si="11"/>
        <v>117</v>
      </c>
      <c r="B119">
        <v>116</v>
      </c>
      <c r="C119" t="str">
        <f t="shared" si="12"/>
        <v>INCOMPLETA</v>
      </c>
      <c r="D119" t="str">
        <f t="shared" si="13"/>
        <v>ERRO</v>
      </c>
      <c r="E119" t="str">
        <f t="shared" si="9"/>
        <v>PRECO_VAZIA</v>
      </c>
      <c r="F119" cm="1">
        <f t="array" ref="F119">IF(ISERR(FIND("PRECO_VAZIA", INDEX(tbl_vendas564[Tipo_Erro], ROW()-ROW(tbl_vendas564[#Headers])))), 0, 1)</f>
        <v>1</v>
      </c>
      <c r="G119" cm="1">
        <f t="array" ref="G119">IF(ISERR(FIND("PRODUTO_VAZIA", INDEX(tbl_vendas564[Tipo_Erro], ROW()-ROW(tbl_vendas564[#Headers])))), 0, 1)</f>
        <v>0</v>
      </c>
      <c r="H119" cm="1">
        <f t="array" ref="H119">IF(ISERR(FIND("CLIENTE_VAZIA", INDEX(tbl_vendas564[Tipo_Erro], ROW()-ROW(tbl_vendas564[#Headers])))), 0, 1)</f>
        <v>0</v>
      </c>
      <c r="I119" cm="1">
        <f t="array" ref="I119">IF(ISERR(FIND("QUANTIDADE_NEGATIVA", INDEX(tbl_vendas564[Tipo_Erro], ROW()-ROW(tbl_vendas564[#Headers])))), 0, 1)</f>
        <v>0</v>
      </c>
      <c r="J119" cm="1">
        <f t="array" ref="J119">IF(ISERR(FIND("QUANTIDADE_VAZIA", INDEX(tbl_vendas564[Tipo_Erro], ROW()-ROW(tbl_vendas564[#Headers])))), 0, 1)</f>
        <v>0</v>
      </c>
      <c r="K119" cm="1">
        <f t="array" ref="K119">IF(ISERR(FIND("CIDADE_VAZIA", INDEX(tbl_vendas564[Tipo_Erro], ROW()-ROW(tbl_vendas564[#Headers])))), 0, 1)</f>
        <v>0</v>
      </c>
      <c r="L119" s="1" t="s">
        <v>117</v>
      </c>
      <c r="M119" t="s">
        <v>26</v>
      </c>
      <c r="N119" t="s">
        <v>23</v>
      </c>
      <c r="O119">
        <v>10</v>
      </c>
      <c r="P119" s="2"/>
      <c r="Q119" s="3" t="str">
        <f t="shared" si="10"/>
        <v/>
      </c>
      <c r="R119" t="s">
        <v>13</v>
      </c>
    </row>
    <row r="120" spans="1:18" x14ac:dyDescent="0.25">
      <c r="A120">
        <f t="shared" si="11"/>
        <v>118</v>
      </c>
      <c r="B120">
        <v>117</v>
      </c>
      <c r="C120" t="str">
        <f t="shared" si="12"/>
        <v>INCOMPLETA</v>
      </c>
      <c r="D120" t="str">
        <f t="shared" si="13"/>
        <v>ERRO</v>
      </c>
      <c r="E120" t="str">
        <f t="shared" si="9"/>
        <v>PRODUTO_VAZIA</v>
      </c>
      <c r="F120" cm="1">
        <f t="array" ref="F120">IF(ISERR(FIND("PRECO_VAZIA", INDEX(tbl_vendas564[Tipo_Erro], ROW()-ROW(tbl_vendas564[#Headers])))), 0, 1)</f>
        <v>0</v>
      </c>
      <c r="G120" cm="1">
        <f t="array" ref="G120">IF(ISERR(FIND("PRODUTO_VAZIA", INDEX(tbl_vendas564[Tipo_Erro], ROW()-ROW(tbl_vendas564[#Headers])))), 0, 1)</f>
        <v>1</v>
      </c>
      <c r="H120" cm="1">
        <f t="array" ref="H120">IF(ISERR(FIND("CLIENTE_VAZIA", INDEX(tbl_vendas564[Tipo_Erro], ROW()-ROW(tbl_vendas564[#Headers])))), 0, 1)</f>
        <v>0</v>
      </c>
      <c r="I120" cm="1">
        <f t="array" ref="I120">IF(ISERR(FIND("QUANTIDADE_NEGATIVA", INDEX(tbl_vendas564[Tipo_Erro], ROW()-ROW(tbl_vendas564[#Headers])))), 0, 1)</f>
        <v>0</v>
      </c>
      <c r="J120" cm="1">
        <f t="array" ref="J120">IF(ISERR(FIND("QUANTIDADE_VAZIA", INDEX(tbl_vendas564[Tipo_Erro], ROW()-ROW(tbl_vendas564[#Headers])))), 0, 1)</f>
        <v>0</v>
      </c>
      <c r="K120" cm="1">
        <f t="array" ref="K120">IF(ISERR(FIND("CIDADE_VAZIA", INDEX(tbl_vendas564[Tipo_Erro], ROW()-ROW(tbl_vendas564[#Headers])))), 0, 1)</f>
        <v>0</v>
      </c>
      <c r="L120" s="1" t="s">
        <v>118</v>
      </c>
      <c r="M120" t="s">
        <v>8</v>
      </c>
      <c r="O120">
        <v>10</v>
      </c>
      <c r="P120" s="2" t="s">
        <v>35</v>
      </c>
      <c r="Q120" s="3" t="str">
        <f t="shared" si="10"/>
        <v>R$ 30</v>
      </c>
      <c r="R120" t="s">
        <v>49</v>
      </c>
    </row>
    <row r="121" spans="1:18" x14ac:dyDescent="0.25">
      <c r="A121">
        <f t="shared" si="11"/>
        <v>119</v>
      </c>
      <c r="B121">
        <v>118</v>
      </c>
      <c r="C121" t="str">
        <f t="shared" si="12"/>
        <v>INCOMPLETA</v>
      </c>
      <c r="D121" t="str">
        <f t="shared" si="13"/>
        <v>ERRO</v>
      </c>
      <c r="E121" t="str">
        <f t="shared" si="9"/>
        <v>PRECO_VAZIA; CIDADE_VAZIA</v>
      </c>
      <c r="F121" cm="1">
        <f t="array" ref="F121">IF(ISERR(FIND("PRECO_VAZIA", INDEX(tbl_vendas564[Tipo_Erro], ROW()-ROW(tbl_vendas564[#Headers])))), 0, 1)</f>
        <v>1</v>
      </c>
      <c r="G121" cm="1">
        <f t="array" ref="G121">IF(ISERR(FIND("PRODUTO_VAZIA", INDEX(tbl_vendas564[Tipo_Erro], ROW()-ROW(tbl_vendas564[#Headers])))), 0, 1)</f>
        <v>0</v>
      </c>
      <c r="H121" cm="1">
        <f t="array" ref="H121">IF(ISERR(FIND("CLIENTE_VAZIA", INDEX(tbl_vendas564[Tipo_Erro], ROW()-ROW(tbl_vendas564[#Headers])))), 0, 1)</f>
        <v>0</v>
      </c>
      <c r="I121" cm="1">
        <f t="array" ref="I121">IF(ISERR(FIND("QUANTIDADE_NEGATIVA", INDEX(tbl_vendas564[Tipo_Erro], ROW()-ROW(tbl_vendas564[#Headers])))), 0, 1)</f>
        <v>0</v>
      </c>
      <c r="J121" cm="1">
        <f t="array" ref="J121">IF(ISERR(FIND("QUANTIDADE_VAZIA", INDEX(tbl_vendas564[Tipo_Erro], ROW()-ROW(tbl_vendas564[#Headers])))), 0, 1)</f>
        <v>0</v>
      </c>
      <c r="K121" cm="1">
        <f t="array" ref="K121">IF(ISERR(FIND("CIDADE_VAZIA", INDEX(tbl_vendas564[Tipo_Erro], ROW()-ROW(tbl_vendas564[#Headers])))), 0, 1)</f>
        <v>1</v>
      </c>
      <c r="L121" s="1" t="s">
        <v>119</v>
      </c>
      <c r="M121" t="s">
        <v>8</v>
      </c>
      <c r="N121" t="s">
        <v>23</v>
      </c>
      <c r="O121">
        <v>15</v>
      </c>
      <c r="P121" s="2"/>
      <c r="Q121" s="3" t="str">
        <f t="shared" si="10"/>
        <v/>
      </c>
    </row>
    <row r="122" spans="1:18" x14ac:dyDescent="0.25">
      <c r="A122">
        <f t="shared" si="11"/>
        <v>120</v>
      </c>
      <c r="B122">
        <v>119</v>
      </c>
      <c r="C122" t="str">
        <f t="shared" si="12"/>
        <v>INCOMPLETA</v>
      </c>
      <c r="D122" t="str">
        <f t="shared" si="13"/>
        <v>ERRO</v>
      </c>
      <c r="E122" t="str">
        <f t="shared" si="9"/>
        <v>QUANTIDADE_VAZIA; QUANTIDADE_NEGATIVA; CLIENTE_VAZIA</v>
      </c>
      <c r="F122" cm="1">
        <f t="array" ref="F122">IF(ISERR(FIND("PRECO_VAZIA", INDEX(tbl_vendas564[Tipo_Erro], ROW()-ROW(tbl_vendas564[#Headers])))), 0, 1)</f>
        <v>0</v>
      </c>
      <c r="G122" cm="1">
        <f t="array" ref="G122">IF(ISERR(FIND("PRODUTO_VAZIA", INDEX(tbl_vendas564[Tipo_Erro], ROW()-ROW(tbl_vendas564[#Headers])))), 0, 1)</f>
        <v>0</v>
      </c>
      <c r="H122" cm="1">
        <f t="array" ref="H122">IF(ISERR(FIND("CLIENTE_VAZIA", INDEX(tbl_vendas564[Tipo_Erro], ROW()-ROW(tbl_vendas564[#Headers])))), 0, 1)</f>
        <v>1</v>
      </c>
      <c r="I122" cm="1">
        <f t="array" ref="I122">IF(ISERR(FIND("QUANTIDADE_NEGATIVA", INDEX(tbl_vendas564[Tipo_Erro], ROW()-ROW(tbl_vendas564[#Headers])))), 0, 1)</f>
        <v>1</v>
      </c>
      <c r="J122" cm="1">
        <f t="array" ref="J122">IF(ISERR(FIND("QUANTIDADE_VAZIA", INDEX(tbl_vendas564[Tipo_Erro], ROW()-ROW(tbl_vendas564[#Headers])))), 0, 1)</f>
        <v>1</v>
      </c>
      <c r="K122" cm="1">
        <f t="array" ref="K122">IF(ISERR(FIND("CIDADE_VAZIA", INDEX(tbl_vendas564[Tipo_Erro], ROW()-ROW(tbl_vendas564[#Headers])))), 0, 1)</f>
        <v>0</v>
      </c>
      <c r="L122" s="1" t="s">
        <v>120</v>
      </c>
      <c r="N122" t="s">
        <v>19</v>
      </c>
      <c r="O122">
        <v>-3</v>
      </c>
      <c r="P122" s="2">
        <v>16.82</v>
      </c>
      <c r="Q122" s="3">
        <f t="shared" si="10"/>
        <v>16.82</v>
      </c>
      <c r="R122" t="s">
        <v>49</v>
      </c>
    </row>
    <row r="123" spans="1:18" x14ac:dyDescent="0.25">
      <c r="A123">
        <f t="shared" si="11"/>
        <v>121</v>
      </c>
      <c r="B123">
        <v>120</v>
      </c>
      <c r="C123" t="str">
        <f t="shared" si="12"/>
        <v>INCOMPLETA</v>
      </c>
      <c r="D123" t="str">
        <f t="shared" si="13"/>
        <v>ERRO</v>
      </c>
      <c r="E123" t="str">
        <f t="shared" si="9"/>
        <v>PRECO_VAZIA</v>
      </c>
      <c r="F123" cm="1">
        <f t="array" ref="F123">IF(ISERR(FIND("PRECO_VAZIA", INDEX(tbl_vendas564[Tipo_Erro], ROW()-ROW(tbl_vendas564[#Headers])))), 0, 1)</f>
        <v>1</v>
      </c>
      <c r="G123" cm="1">
        <f t="array" ref="G123">IF(ISERR(FIND("PRODUTO_VAZIA", INDEX(tbl_vendas564[Tipo_Erro], ROW()-ROW(tbl_vendas564[#Headers])))), 0, 1)</f>
        <v>0</v>
      </c>
      <c r="H123" cm="1">
        <f t="array" ref="H123">IF(ISERR(FIND("CLIENTE_VAZIA", INDEX(tbl_vendas564[Tipo_Erro], ROW()-ROW(tbl_vendas564[#Headers])))), 0, 1)</f>
        <v>0</v>
      </c>
      <c r="I123" cm="1">
        <f t="array" ref="I123">IF(ISERR(FIND("QUANTIDADE_NEGATIVA", INDEX(tbl_vendas564[Tipo_Erro], ROW()-ROW(tbl_vendas564[#Headers])))), 0, 1)</f>
        <v>0</v>
      </c>
      <c r="J123" cm="1">
        <f t="array" ref="J123">IF(ISERR(FIND("QUANTIDADE_VAZIA", INDEX(tbl_vendas564[Tipo_Erro], ROW()-ROW(tbl_vendas564[#Headers])))), 0, 1)</f>
        <v>0</v>
      </c>
      <c r="K123" cm="1">
        <f t="array" ref="K123">IF(ISERR(FIND("CIDADE_VAZIA", INDEX(tbl_vendas564[Tipo_Erro], ROW()-ROW(tbl_vendas564[#Headers])))), 0, 1)</f>
        <v>0</v>
      </c>
      <c r="L123" s="1" t="s">
        <v>84</v>
      </c>
      <c r="M123" t="s">
        <v>8</v>
      </c>
      <c r="N123" t="s">
        <v>47</v>
      </c>
      <c r="O123">
        <v>12</v>
      </c>
      <c r="P123" s="2">
        <v>-10</v>
      </c>
      <c r="Q123" s="3" t="str">
        <f t="shared" si="10"/>
        <v/>
      </c>
      <c r="R123" t="s">
        <v>21</v>
      </c>
    </row>
    <row r="124" spans="1:18" x14ac:dyDescent="0.25">
      <c r="A124">
        <f t="shared" si="11"/>
        <v>122</v>
      </c>
      <c r="B124">
        <v>121</v>
      </c>
      <c r="C124" t="str">
        <f t="shared" si="12"/>
        <v>INCOMPLETA</v>
      </c>
      <c r="D124" t="str">
        <f t="shared" si="13"/>
        <v>ERRO</v>
      </c>
      <c r="E124" t="str">
        <f t="shared" si="9"/>
        <v>QUANTIDADE_NEGATIVA; CIDADE_VAZIA</v>
      </c>
      <c r="F124" cm="1">
        <f t="array" ref="F124">IF(ISERR(FIND("PRECO_VAZIA", INDEX(tbl_vendas564[Tipo_Erro], ROW()-ROW(tbl_vendas564[#Headers])))), 0, 1)</f>
        <v>0</v>
      </c>
      <c r="G124" cm="1">
        <f t="array" ref="G124">IF(ISERR(FIND("PRODUTO_VAZIA", INDEX(tbl_vendas564[Tipo_Erro], ROW()-ROW(tbl_vendas564[#Headers])))), 0, 1)</f>
        <v>0</v>
      </c>
      <c r="H124" cm="1">
        <f t="array" ref="H124">IF(ISERR(FIND("CLIENTE_VAZIA", INDEX(tbl_vendas564[Tipo_Erro], ROW()-ROW(tbl_vendas564[#Headers])))), 0, 1)</f>
        <v>0</v>
      </c>
      <c r="I124" cm="1">
        <f t="array" ref="I124">IF(ISERR(FIND("QUANTIDADE_NEGATIVA", INDEX(tbl_vendas564[Tipo_Erro], ROW()-ROW(tbl_vendas564[#Headers])))), 0, 1)</f>
        <v>1</v>
      </c>
      <c r="J124" cm="1">
        <f t="array" ref="J124">IF(ISERR(FIND("QUANTIDADE_VAZIA", INDEX(tbl_vendas564[Tipo_Erro], ROW()-ROW(tbl_vendas564[#Headers])))), 0, 1)</f>
        <v>0</v>
      </c>
      <c r="K124" cm="1">
        <f t="array" ref="K124">IF(ISERR(FIND("CIDADE_VAZIA", INDEX(tbl_vendas564[Tipo_Erro], ROW()-ROW(tbl_vendas564[#Headers])))), 0, 1)</f>
        <v>1</v>
      </c>
      <c r="L124" s="1" t="s">
        <v>121</v>
      </c>
      <c r="M124" t="s">
        <v>8</v>
      </c>
      <c r="N124" t="s">
        <v>9</v>
      </c>
      <c r="O124">
        <v>-3</v>
      </c>
      <c r="P124" s="2" t="s">
        <v>35</v>
      </c>
      <c r="Q124" s="3" t="str">
        <f t="shared" si="10"/>
        <v>R$ 30</v>
      </c>
    </row>
    <row r="125" spans="1:18" x14ac:dyDescent="0.25">
      <c r="A125">
        <f t="shared" si="11"/>
        <v>123</v>
      </c>
      <c r="B125">
        <v>122</v>
      </c>
      <c r="C125" t="str">
        <f t="shared" si="12"/>
        <v>INCOMPLETA</v>
      </c>
      <c r="D125" t="str">
        <f t="shared" si="13"/>
        <v>ERRO</v>
      </c>
      <c r="E125" t="str">
        <f t="shared" si="9"/>
        <v>QUANTIDADE_NEGATIVA; PRECO_VAZIA</v>
      </c>
      <c r="F125" cm="1">
        <f t="array" ref="F125">IF(ISERR(FIND("PRECO_VAZIA", INDEX(tbl_vendas564[Tipo_Erro], ROW()-ROW(tbl_vendas564[#Headers])))), 0, 1)</f>
        <v>1</v>
      </c>
      <c r="G125" cm="1">
        <f t="array" ref="G125">IF(ISERR(FIND("PRODUTO_VAZIA", INDEX(tbl_vendas564[Tipo_Erro], ROW()-ROW(tbl_vendas564[#Headers])))), 0, 1)</f>
        <v>0</v>
      </c>
      <c r="H125" cm="1">
        <f t="array" ref="H125">IF(ISERR(FIND("CLIENTE_VAZIA", INDEX(tbl_vendas564[Tipo_Erro], ROW()-ROW(tbl_vendas564[#Headers])))), 0, 1)</f>
        <v>0</v>
      </c>
      <c r="I125" cm="1">
        <f t="array" ref="I125">IF(ISERR(FIND("QUANTIDADE_NEGATIVA", INDEX(tbl_vendas564[Tipo_Erro], ROW()-ROW(tbl_vendas564[#Headers])))), 0, 1)</f>
        <v>1</v>
      </c>
      <c r="J125" cm="1">
        <f t="array" ref="J125">IF(ISERR(FIND("QUANTIDADE_VAZIA", INDEX(tbl_vendas564[Tipo_Erro], ROW()-ROW(tbl_vendas564[#Headers])))), 0, 1)</f>
        <v>0</v>
      </c>
      <c r="K125" cm="1">
        <f t="array" ref="K125">IF(ISERR(FIND("CIDADE_VAZIA", INDEX(tbl_vendas564[Tipo_Erro], ROW()-ROW(tbl_vendas564[#Headers])))), 0, 1)</f>
        <v>0</v>
      </c>
      <c r="L125" s="1" t="s">
        <v>30</v>
      </c>
      <c r="M125" t="s">
        <v>12</v>
      </c>
      <c r="N125" t="s">
        <v>37</v>
      </c>
      <c r="O125">
        <v>-3</v>
      </c>
      <c r="P125" s="2"/>
      <c r="Q125" s="3" t="str">
        <f t="shared" si="10"/>
        <v/>
      </c>
      <c r="R125" t="s">
        <v>10</v>
      </c>
    </row>
    <row r="126" spans="1:18" x14ac:dyDescent="0.25">
      <c r="A126">
        <f t="shared" si="11"/>
        <v>124</v>
      </c>
      <c r="B126">
        <v>123</v>
      </c>
      <c r="C126" t="str">
        <f t="shared" si="12"/>
        <v>INCOMPLETA</v>
      </c>
      <c r="D126" t="str">
        <f t="shared" si="13"/>
        <v>ERRO</v>
      </c>
      <c r="E126" t="str">
        <f t="shared" si="9"/>
        <v>PRODUTO_VAZIA</v>
      </c>
      <c r="F126" cm="1">
        <f t="array" ref="F126">IF(ISERR(FIND("PRECO_VAZIA", INDEX(tbl_vendas564[Tipo_Erro], ROW()-ROW(tbl_vendas564[#Headers])))), 0, 1)</f>
        <v>0</v>
      </c>
      <c r="G126" cm="1">
        <f t="array" ref="G126">IF(ISERR(FIND("PRODUTO_VAZIA", INDEX(tbl_vendas564[Tipo_Erro], ROW()-ROW(tbl_vendas564[#Headers])))), 0, 1)</f>
        <v>1</v>
      </c>
      <c r="H126" cm="1">
        <f t="array" ref="H126">IF(ISERR(FIND("CLIENTE_VAZIA", INDEX(tbl_vendas564[Tipo_Erro], ROW()-ROW(tbl_vendas564[#Headers])))), 0, 1)</f>
        <v>0</v>
      </c>
      <c r="I126" cm="1">
        <f t="array" ref="I126">IF(ISERR(FIND("QUANTIDADE_NEGATIVA", INDEX(tbl_vendas564[Tipo_Erro], ROW()-ROW(tbl_vendas564[#Headers])))), 0, 1)</f>
        <v>0</v>
      </c>
      <c r="J126" cm="1">
        <f t="array" ref="J126">IF(ISERR(FIND("QUANTIDADE_VAZIA", INDEX(tbl_vendas564[Tipo_Erro], ROW()-ROW(tbl_vendas564[#Headers])))), 0, 1)</f>
        <v>0</v>
      </c>
      <c r="K126" cm="1">
        <f t="array" ref="K126">IF(ISERR(FIND("CIDADE_VAZIA", INDEX(tbl_vendas564[Tipo_Erro], ROW()-ROW(tbl_vendas564[#Headers])))), 0, 1)</f>
        <v>0</v>
      </c>
      <c r="L126" s="1" t="s">
        <v>122</v>
      </c>
      <c r="M126" t="s">
        <v>8</v>
      </c>
      <c r="P126" s="2">
        <v>443.85</v>
      </c>
      <c r="Q126" s="3">
        <f t="shared" si="10"/>
        <v>443.85</v>
      </c>
      <c r="R126" t="s">
        <v>49</v>
      </c>
    </row>
    <row r="127" spans="1:18" x14ac:dyDescent="0.25">
      <c r="A127">
        <f t="shared" si="11"/>
        <v>125</v>
      </c>
      <c r="B127">
        <v>124</v>
      </c>
      <c r="C127" t="str">
        <f t="shared" si="12"/>
        <v>INCOMPLETA</v>
      </c>
      <c r="D127" t="str">
        <f t="shared" si="13"/>
        <v>ERRO</v>
      </c>
      <c r="E127" t="str">
        <f t="shared" si="9"/>
        <v>QUANTIDADE_NEGATIVA; PRECO_VAZIA</v>
      </c>
      <c r="F127" cm="1">
        <f t="array" ref="F127">IF(ISERR(FIND("PRECO_VAZIA", INDEX(tbl_vendas564[Tipo_Erro], ROW()-ROW(tbl_vendas564[#Headers])))), 0, 1)</f>
        <v>1</v>
      </c>
      <c r="G127" cm="1">
        <f t="array" ref="G127">IF(ISERR(FIND("PRODUTO_VAZIA", INDEX(tbl_vendas564[Tipo_Erro], ROW()-ROW(tbl_vendas564[#Headers])))), 0, 1)</f>
        <v>0</v>
      </c>
      <c r="H127" cm="1">
        <f t="array" ref="H127">IF(ISERR(FIND("CLIENTE_VAZIA", INDEX(tbl_vendas564[Tipo_Erro], ROW()-ROW(tbl_vendas564[#Headers])))), 0, 1)</f>
        <v>0</v>
      </c>
      <c r="I127" cm="1">
        <f t="array" ref="I127">IF(ISERR(FIND("QUANTIDADE_NEGATIVA", INDEX(tbl_vendas564[Tipo_Erro], ROW()-ROW(tbl_vendas564[#Headers])))), 0, 1)</f>
        <v>1</v>
      </c>
      <c r="J127" cm="1">
        <f t="array" ref="J127">IF(ISERR(FIND("QUANTIDADE_VAZIA", INDEX(tbl_vendas564[Tipo_Erro], ROW()-ROW(tbl_vendas564[#Headers])))), 0, 1)</f>
        <v>0</v>
      </c>
      <c r="K127" cm="1">
        <f t="array" ref="K127">IF(ISERR(FIND("CIDADE_VAZIA", INDEX(tbl_vendas564[Tipo_Erro], ROW()-ROW(tbl_vendas564[#Headers])))), 0, 1)</f>
        <v>0</v>
      </c>
      <c r="L127" s="1" t="s">
        <v>14</v>
      </c>
      <c r="M127" t="s">
        <v>12</v>
      </c>
      <c r="N127" t="s">
        <v>19</v>
      </c>
      <c r="O127">
        <v>-3</v>
      </c>
      <c r="P127" s="2"/>
      <c r="Q127" s="3" t="str">
        <f t="shared" si="10"/>
        <v/>
      </c>
      <c r="R127" t="s">
        <v>17</v>
      </c>
    </row>
    <row r="128" spans="1:18" x14ac:dyDescent="0.25">
      <c r="A128">
        <f t="shared" si="11"/>
        <v>126</v>
      </c>
      <c r="B128">
        <v>127</v>
      </c>
      <c r="C128" t="str">
        <f t="shared" si="12"/>
        <v>INCOMPLETA</v>
      </c>
      <c r="D128" t="str">
        <f t="shared" si="13"/>
        <v>ERRO</v>
      </c>
      <c r="E128" t="str">
        <f t="shared" si="9"/>
        <v>QUANTIDADE_VAZIA; PRECO_VAZIA; CLIENTE_VAZIA</v>
      </c>
      <c r="F128" cm="1">
        <f t="array" ref="F128">IF(ISERR(FIND("PRECO_VAZIA", INDEX(tbl_vendas564[Tipo_Erro], ROW()-ROW(tbl_vendas564[#Headers])))), 0, 1)</f>
        <v>1</v>
      </c>
      <c r="G128" cm="1">
        <f t="array" ref="G128">IF(ISERR(FIND("PRODUTO_VAZIA", INDEX(tbl_vendas564[Tipo_Erro], ROW()-ROW(tbl_vendas564[#Headers])))), 0, 1)</f>
        <v>0</v>
      </c>
      <c r="H128" cm="1">
        <f t="array" ref="H128">IF(ISERR(FIND("CLIENTE_VAZIA", INDEX(tbl_vendas564[Tipo_Erro], ROW()-ROW(tbl_vendas564[#Headers])))), 0, 1)</f>
        <v>1</v>
      </c>
      <c r="I128" cm="1">
        <f t="array" ref="I128">IF(ISERR(FIND("QUANTIDADE_NEGATIVA", INDEX(tbl_vendas564[Tipo_Erro], ROW()-ROW(tbl_vendas564[#Headers])))), 0, 1)</f>
        <v>0</v>
      </c>
      <c r="J128" cm="1">
        <f t="array" ref="J128">IF(ISERR(FIND("QUANTIDADE_VAZIA", INDEX(tbl_vendas564[Tipo_Erro], ROW()-ROW(tbl_vendas564[#Headers])))), 0, 1)</f>
        <v>1</v>
      </c>
      <c r="K128" cm="1">
        <f t="array" ref="K128">IF(ISERR(FIND("CIDADE_VAZIA", INDEX(tbl_vendas564[Tipo_Erro], ROW()-ROW(tbl_vendas564[#Headers])))), 0, 1)</f>
        <v>0</v>
      </c>
      <c r="L128" s="1" t="s">
        <v>125</v>
      </c>
      <c r="N128" t="s">
        <v>9</v>
      </c>
      <c r="P128" s="2"/>
      <c r="Q128" s="3" t="str">
        <f t="shared" si="10"/>
        <v/>
      </c>
      <c r="R128" t="s">
        <v>17</v>
      </c>
    </row>
    <row r="129" spans="1:18" x14ac:dyDescent="0.25">
      <c r="A129">
        <f t="shared" si="11"/>
        <v>127</v>
      </c>
      <c r="B129">
        <v>128</v>
      </c>
      <c r="C129" t="str">
        <f t="shared" si="12"/>
        <v>INCOMPLETA</v>
      </c>
      <c r="D129" t="str">
        <f t="shared" si="13"/>
        <v>ERRO</v>
      </c>
      <c r="E129" t="str">
        <f t="shared" si="9"/>
        <v>PRECO_VAZIA</v>
      </c>
      <c r="F129" cm="1">
        <f t="array" ref="F129">IF(ISERR(FIND("PRECO_VAZIA", INDEX(tbl_vendas564[Tipo_Erro], ROW()-ROW(tbl_vendas564[#Headers])))), 0, 1)</f>
        <v>1</v>
      </c>
      <c r="G129" cm="1">
        <f t="array" ref="G129">IF(ISERR(FIND("PRODUTO_VAZIA", INDEX(tbl_vendas564[Tipo_Erro], ROW()-ROW(tbl_vendas564[#Headers])))), 0, 1)</f>
        <v>0</v>
      </c>
      <c r="H129" cm="1">
        <f t="array" ref="H129">IF(ISERR(FIND("CLIENTE_VAZIA", INDEX(tbl_vendas564[Tipo_Erro], ROW()-ROW(tbl_vendas564[#Headers])))), 0, 1)</f>
        <v>0</v>
      </c>
      <c r="I129" cm="1">
        <f t="array" ref="I129">IF(ISERR(FIND("QUANTIDADE_NEGATIVA", INDEX(tbl_vendas564[Tipo_Erro], ROW()-ROW(tbl_vendas564[#Headers])))), 0, 1)</f>
        <v>0</v>
      </c>
      <c r="J129" cm="1">
        <f t="array" ref="J129">IF(ISERR(FIND("QUANTIDADE_VAZIA", INDEX(tbl_vendas564[Tipo_Erro], ROW()-ROW(tbl_vendas564[#Headers])))), 0, 1)</f>
        <v>0</v>
      </c>
      <c r="K129" cm="1">
        <f t="array" ref="K129">IF(ISERR(FIND("CIDADE_VAZIA", INDEX(tbl_vendas564[Tipo_Erro], ROW()-ROW(tbl_vendas564[#Headers])))), 0, 1)</f>
        <v>0</v>
      </c>
      <c r="L129" s="1" t="s">
        <v>126</v>
      </c>
      <c r="M129" t="s">
        <v>12</v>
      </c>
      <c r="N129" t="s">
        <v>53</v>
      </c>
      <c r="P129" s="2"/>
      <c r="Q129" s="3" t="str">
        <f t="shared" si="10"/>
        <v/>
      </c>
      <c r="R129" t="s">
        <v>21</v>
      </c>
    </row>
    <row r="130" spans="1:18" x14ac:dyDescent="0.25">
      <c r="A130">
        <f t="shared" si="11"/>
        <v>128</v>
      </c>
      <c r="B130">
        <v>129</v>
      </c>
      <c r="C130" t="str">
        <f t="shared" ref="C130:C161" si="14">IF(AND(B130&lt;&gt;"",L130&lt;&gt;"",M130&lt;&gt;"",N130&lt;&gt;"",O130&lt;&gt;"",Q130&lt;&gt;"",R130&lt;&gt;""),"COMPLETA","INCOMPLETA")</f>
        <v>INCOMPLETA</v>
      </c>
      <c r="D130" t="str">
        <f t="shared" ref="D130:D161" si="15">IF(AND(C130="COMPLETA", ISNUMBER(O130), O130&gt;0, ISNUMBER(Q130), Q130&gt;0), "OK", "ERRO")</f>
        <v>ERRO</v>
      </c>
      <c r="E130" t="str">
        <f t="shared" ref="E130:E193" si="16">_xlfn.TEXTJOIN("; ", TRUE,
  IF(M130="", "QUANTIDADE_VAZIA", ""),
  IF(AND(ISNUMBER(O130), O130&lt;0), "QUANTIDADE_NEGATIVA", ""),
  IF(Q130="", "PRECO_VAZIA", ""),
  IF(M130="", "CLIENTE_VAZIA", ""),
  IF(N130="", "PRODUTO_VAZIA", ""),
  IF(R130="", "CIDADE_VAZIA", ""),
  IF(L130="", "DATA_VAZIA", "")
)</f>
        <v/>
      </c>
      <c r="F130" cm="1">
        <f t="array" ref="F130">IF(ISERR(FIND("PRECO_VAZIA", INDEX(tbl_vendas564[Tipo_Erro], ROW()-ROW(tbl_vendas564[#Headers])))), 0, 1)</f>
        <v>0</v>
      </c>
      <c r="G130" cm="1">
        <f t="array" ref="G130">IF(ISERR(FIND("PRODUTO_VAZIA", INDEX(tbl_vendas564[Tipo_Erro], ROW()-ROW(tbl_vendas564[#Headers])))), 0, 1)</f>
        <v>0</v>
      </c>
      <c r="H130" cm="1">
        <f t="array" ref="H130">IF(ISERR(FIND("CLIENTE_VAZIA", INDEX(tbl_vendas564[Tipo_Erro], ROW()-ROW(tbl_vendas564[#Headers])))), 0, 1)</f>
        <v>0</v>
      </c>
      <c r="I130" cm="1">
        <f t="array" ref="I130">IF(ISERR(FIND("QUANTIDADE_NEGATIVA", INDEX(tbl_vendas564[Tipo_Erro], ROW()-ROW(tbl_vendas564[#Headers])))), 0, 1)</f>
        <v>0</v>
      </c>
      <c r="J130" cm="1">
        <f t="array" ref="J130">IF(ISERR(FIND("QUANTIDADE_VAZIA", INDEX(tbl_vendas564[Tipo_Erro], ROW()-ROW(tbl_vendas564[#Headers])))), 0, 1)</f>
        <v>0</v>
      </c>
      <c r="K130" cm="1">
        <f t="array" ref="K130">IF(ISERR(FIND("CIDADE_VAZIA", INDEX(tbl_vendas564[Tipo_Erro], ROW()-ROW(tbl_vendas564[#Headers])))), 0, 1)</f>
        <v>0</v>
      </c>
      <c r="L130" s="1" t="s">
        <v>7</v>
      </c>
      <c r="M130" t="s">
        <v>26</v>
      </c>
      <c r="N130" t="s">
        <v>37</v>
      </c>
      <c r="P130" s="2">
        <v>298.54000000000002</v>
      </c>
      <c r="Q130" s="3">
        <f t="shared" ref="Q130:Q193" si="17">IF(P130&gt;0, P130, "")</f>
        <v>298.54000000000002</v>
      </c>
      <c r="R130" t="s">
        <v>13</v>
      </c>
    </row>
    <row r="131" spans="1:18" x14ac:dyDescent="0.25">
      <c r="A131">
        <f t="shared" ref="A131:A194" si="18">ROW() -2</f>
        <v>129</v>
      </c>
      <c r="B131">
        <v>130</v>
      </c>
      <c r="C131" t="str">
        <f t="shared" si="14"/>
        <v>INCOMPLETA</v>
      </c>
      <c r="D131" t="str">
        <f t="shared" si="15"/>
        <v>ERRO</v>
      </c>
      <c r="E131" t="str">
        <f t="shared" si="16"/>
        <v>PRODUTO_VAZIA</v>
      </c>
      <c r="F131" cm="1">
        <f t="array" ref="F131">IF(ISERR(FIND("PRECO_VAZIA", INDEX(tbl_vendas564[Tipo_Erro], ROW()-ROW(tbl_vendas564[#Headers])))), 0, 1)</f>
        <v>0</v>
      </c>
      <c r="G131" cm="1">
        <f t="array" ref="G131">IF(ISERR(FIND("PRODUTO_VAZIA", INDEX(tbl_vendas564[Tipo_Erro], ROW()-ROW(tbl_vendas564[#Headers])))), 0, 1)</f>
        <v>1</v>
      </c>
      <c r="H131" cm="1">
        <f t="array" ref="H131">IF(ISERR(FIND("CLIENTE_VAZIA", INDEX(tbl_vendas564[Tipo_Erro], ROW()-ROW(tbl_vendas564[#Headers])))), 0, 1)</f>
        <v>0</v>
      </c>
      <c r="I131" cm="1">
        <f t="array" ref="I131">IF(ISERR(FIND("QUANTIDADE_NEGATIVA", INDEX(tbl_vendas564[Tipo_Erro], ROW()-ROW(tbl_vendas564[#Headers])))), 0, 1)</f>
        <v>0</v>
      </c>
      <c r="J131" cm="1">
        <f t="array" ref="J131">IF(ISERR(FIND("QUANTIDADE_VAZIA", INDEX(tbl_vendas564[Tipo_Erro], ROW()-ROW(tbl_vendas564[#Headers])))), 0, 1)</f>
        <v>0</v>
      </c>
      <c r="K131" cm="1">
        <f t="array" ref="K131">IF(ISERR(FIND("CIDADE_VAZIA", INDEX(tbl_vendas564[Tipo_Erro], ROW()-ROW(tbl_vendas564[#Headers])))), 0, 1)</f>
        <v>0</v>
      </c>
      <c r="L131" s="1" t="s">
        <v>127</v>
      </c>
      <c r="M131" t="s">
        <v>33</v>
      </c>
      <c r="O131">
        <v>4</v>
      </c>
      <c r="P131" s="2" t="s">
        <v>35</v>
      </c>
      <c r="Q131" s="3" t="str">
        <f t="shared" si="17"/>
        <v>R$ 30</v>
      </c>
      <c r="R131" t="s">
        <v>10</v>
      </c>
    </row>
    <row r="132" spans="1:18" x14ac:dyDescent="0.25">
      <c r="A132">
        <f t="shared" si="18"/>
        <v>130</v>
      </c>
      <c r="B132">
        <v>131</v>
      </c>
      <c r="C132" t="str">
        <f t="shared" si="14"/>
        <v>INCOMPLETA</v>
      </c>
      <c r="D132" t="str">
        <f t="shared" si="15"/>
        <v>ERRO</v>
      </c>
      <c r="E132" t="str">
        <f t="shared" si="16"/>
        <v>QUANTIDADE_VAZIA; CLIENTE_VAZIA</v>
      </c>
      <c r="F132" cm="1">
        <f t="array" ref="F132">IF(ISERR(FIND("PRECO_VAZIA", INDEX(tbl_vendas564[Tipo_Erro], ROW()-ROW(tbl_vendas564[#Headers])))), 0, 1)</f>
        <v>0</v>
      </c>
      <c r="G132" cm="1">
        <f t="array" ref="G132">IF(ISERR(FIND("PRODUTO_VAZIA", INDEX(tbl_vendas564[Tipo_Erro], ROW()-ROW(tbl_vendas564[#Headers])))), 0, 1)</f>
        <v>0</v>
      </c>
      <c r="H132" cm="1">
        <f t="array" ref="H132">IF(ISERR(FIND("CLIENTE_VAZIA", INDEX(tbl_vendas564[Tipo_Erro], ROW()-ROW(tbl_vendas564[#Headers])))), 0, 1)</f>
        <v>1</v>
      </c>
      <c r="I132" cm="1">
        <f t="array" ref="I132">IF(ISERR(FIND("QUANTIDADE_NEGATIVA", INDEX(tbl_vendas564[Tipo_Erro], ROW()-ROW(tbl_vendas564[#Headers])))), 0, 1)</f>
        <v>0</v>
      </c>
      <c r="J132" cm="1">
        <f t="array" ref="J132">IF(ISERR(FIND("QUANTIDADE_VAZIA", INDEX(tbl_vendas564[Tipo_Erro], ROW()-ROW(tbl_vendas564[#Headers])))), 0, 1)</f>
        <v>1</v>
      </c>
      <c r="K132" cm="1">
        <f t="array" ref="K132">IF(ISERR(FIND("CIDADE_VAZIA", INDEX(tbl_vendas564[Tipo_Erro], ROW()-ROW(tbl_vendas564[#Headers])))), 0, 1)</f>
        <v>0</v>
      </c>
      <c r="L132" s="1" t="s">
        <v>128</v>
      </c>
      <c r="N132" t="s">
        <v>9</v>
      </c>
      <c r="O132">
        <v>20</v>
      </c>
      <c r="P132" s="2" t="s">
        <v>35</v>
      </c>
      <c r="Q132" s="3" t="str">
        <f t="shared" si="17"/>
        <v>R$ 30</v>
      </c>
      <c r="R132" t="s">
        <v>49</v>
      </c>
    </row>
    <row r="133" spans="1:18" x14ac:dyDescent="0.25">
      <c r="A133">
        <f t="shared" si="18"/>
        <v>131</v>
      </c>
      <c r="B133">
        <v>132</v>
      </c>
      <c r="C133" t="str">
        <f t="shared" si="14"/>
        <v>INCOMPLETA</v>
      </c>
      <c r="D133" t="str">
        <f t="shared" si="15"/>
        <v>ERRO</v>
      </c>
      <c r="E133" t="str">
        <f t="shared" si="16"/>
        <v>QUANTIDADE_NEGATIVA; PRECO_VAZIA; CIDADE_VAZIA</v>
      </c>
      <c r="F133" cm="1">
        <f t="array" ref="F133">IF(ISERR(FIND("PRECO_VAZIA", INDEX(tbl_vendas564[Tipo_Erro], ROW()-ROW(tbl_vendas564[#Headers])))), 0, 1)</f>
        <v>1</v>
      </c>
      <c r="G133" cm="1">
        <f t="array" ref="G133">IF(ISERR(FIND("PRODUTO_VAZIA", INDEX(tbl_vendas564[Tipo_Erro], ROW()-ROW(tbl_vendas564[#Headers])))), 0, 1)</f>
        <v>0</v>
      </c>
      <c r="H133" cm="1">
        <f t="array" ref="H133">IF(ISERR(FIND("CLIENTE_VAZIA", INDEX(tbl_vendas564[Tipo_Erro], ROW()-ROW(tbl_vendas564[#Headers])))), 0, 1)</f>
        <v>0</v>
      </c>
      <c r="I133" cm="1">
        <f t="array" ref="I133">IF(ISERR(FIND("QUANTIDADE_NEGATIVA", INDEX(tbl_vendas564[Tipo_Erro], ROW()-ROW(tbl_vendas564[#Headers])))), 0, 1)</f>
        <v>1</v>
      </c>
      <c r="J133" cm="1">
        <f t="array" ref="J133">IF(ISERR(FIND("QUANTIDADE_VAZIA", INDEX(tbl_vendas564[Tipo_Erro], ROW()-ROW(tbl_vendas564[#Headers])))), 0, 1)</f>
        <v>0</v>
      </c>
      <c r="K133" cm="1">
        <f t="array" ref="K133">IF(ISERR(FIND("CIDADE_VAZIA", INDEX(tbl_vendas564[Tipo_Erro], ROW()-ROW(tbl_vendas564[#Headers])))), 0, 1)</f>
        <v>1</v>
      </c>
      <c r="L133" s="1" t="s">
        <v>11</v>
      </c>
      <c r="M133" t="s">
        <v>12</v>
      </c>
      <c r="N133" t="s">
        <v>31</v>
      </c>
      <c r="O133">
        <v>-3</v>
      </c>
      <c r="P133" s="2">
        <v>-10</v>
      </c>
      <c r="Q133" s="3" t="str">
        <f t="shared" si="17"/>
        <v/>
      </c>
    </row>
    <row r="134" spans="1:18" x14ac:dyDescent="0.25">
      <c r="A134">
        <f t="shared" si="18"/>
        <v>132</v>
      </c>
      <c r="B134">
        <v>133</v>
      </c>
      <c r="C134" t="str">
        <f t="shared" si="14"/>
        <v>INCOMPLETA</v>
      </c>
      <c r="D134" t="str">
        <f t="shared" si="15"/>
        <v>ERRO</v>
      </c>
      <c r="E134" t="str">
        <f t="shared" si="16"/>
        <v/>
      </c>
      <c r="F134" cm="1">
        <f t="array" ref="F134">IF(ISERR(FIND("PRECO_VAZIA", INDEX(tbl_vendas564[Tipo_Erro], ROW()-ROW(tbl_vendas564[#Headers])))), 0, 1)</f>
        <v>0</v>
      </c>
      <c r="G134" cm="1">
        <f t="array" ref="G134">IF(ISERR(FIND("PRODUTO_VAZIA", INDEX(tbl_vendas564[Tipo_Erro], ROW()-ROW(tbl_vendas564[#Headers])))), 0, 1)</f>
        <v>0</v>
      </c>
      <c r="H134" cm="1">
        <f t="array" ref="H134">IF(ISERR(FIND("CLIENTE_VAZIA", INDEX(tbl_vendas564[Tipo_Erro], ROW()-ROW(tbl_vendas564[#Headers])))), 0, 1)</f>
        <v>0</v>
      </c>
      <c r="I134" cm="1">
        <f t="array" ref="I134">IF(ISERR(FIND("QUANTIDADE_NEGATIVA", INDEX(tbl_vendas564[Tipo_Erro], ROW()-ROW(tbl_vendas564[#Headers])))), 0, 1)</f>
        <v>0</v>
      </c>
      <c r="J134" cm="1">
        <f t="array" ref="J134">IF(ISERR(FIND("QUANTIDADE_VAZIA", INDEX(tbl_vendas564[Tipo_Erro], ROW()-ROW(tbl_vendas564[#Headers])))), 0, 1)</f>
        <v>0</v>
      </c>
      <c r="K134" cm="1">
        <f t="array" ref="K134">IF(ISERR(FIND("CIDADE_VAZIA", INDEX(tbl_vendas564[Tipo_Erro], ROW()-ROW(tbl_vendas564[#Headers])))), 0, 1)</f>
        <v>0</v>
      </c>
      <c r="L134" s="1" t="s">
        <v>98</v>
      </c>
      <c r="M134" t="s">
        <v>12</v>
      </c>
      <c r="N134" t="s">
        <v>19</v>
      </c>
      <c r="P134" s="2" t="s">
        <v>35</v>
      </c>
      <c r="Q134" s="3" t="str">
        <f t="shared" si="17"/>
        <v>R$ 30</v>
      </c>
      <c r="R134" t="s">
        <v>10</v>
      </c>
    </row>
    <row r="135" spans="1:18" x14ac:dyDescent="0.25">
      <c r="A135">
        <f t="shared" si="18"/>
        <v>133</v>
      </c>
      <c r="B135">
        <v>134</v>
      </c>
      <c r="C135" t="str">
        <f t="shared" si="14"/>
        <v>INCOMPLETA</v>
      </c>
      <c r="D135" t="str">
        <f t="shared" si="15"/>
        <v>ERRO</v>
      </c>
      <c r="E135" t="str">
        <f t="shared" si="16"/>
        <v>PRECO_VAZIA</v>
      </c>
      <c r="F135" cm="1">
        <f t="array" ref="F135">IF(ISERR(FIND("PRECO_VAZIA", INDEX(tbl_vendas564[Tipo_Erro], ROW()-ROW(tbl_vendas564[#Headers])))), 0, 1)</f>
        <v>1</v>
      </c>
      <c r="G135" cm="1">
        <f t="array" ref="G135">IF(ISERR(FIND("PRODUTO_VAZIA", INDEX(tbl_vendas564[Tipo_Erro], ROW()-ROW(tbl_vendas564[#Headers])))), 0, 1)</f>
        <v>0</v>
      </c>
      <c r="H135" cm="1">
        <f t="array" ref="H135">IF(ISERR(FIND("CLIENTE_VAZIA", INDEX(tbl_vendas564[Tipo_Erro], ROW()-ROW(tbl_vendas564[#Headers])))), 0, 1)</f>
        <v>0</v>
      </c>
      <c r="I135" cm="1">
        <f t="array" ref="I135">IF(ISERR(FIND("QUANTIDADE_NEGATIVA", INDEX(tbl_vendas564[Tipo_Erro], ROW()-ROW(tbl_vendas564[#Headers])))), 0, 1)</f>
        <v>0</v>
      </c>
      <c r="J135" cm="1">
        <f t="array" ref="J135">IF(ISERR(FIND("QUANTIDADE_VAZIA", INDEX(tbl_vendas564[Tipo_Erro], ROW()-ROW(tbl_vendas564[#Headers])))), 0, 1)</f>
        <v>0</v>
      </c>
      <c r="K135" cm="1">
        <f t="array" ref="K135">IF(ISERR(FIND("CIDADE_VAZIA", INDEX(tbl_vendas564[Tipo_Erro], ROW()-ROW(tbl_vendas564[#Headers])))), 0, 1)</f>
        <v>0</v>
      </c>
      <c r="L135" s="1" t="s">
        <v>129</v>
      </c>
      <c r="M135" t="s">
        <v>8</v>
      </c>
      <c r="N135" t="s">
        <v>47</v>
      </c>
      <c r="O135">
        <v>10</v>
      </c>
      <c r="P135" s="2">
        <v>-10</v>
      </c>
      <c r="Q135" s="3" t="str">
        <f t="shared" si="17"/>
        <v/>
      </c>
      <c r="R135" t="s">
        <v>21</v>
      </c>
    </row>
    <row r="136" spans="1:18" x14ac:dyDescent="0.25">
      <c r="A136">
        <f t="shared" si="18"/>
        <v>134</v>
      </c>
      <c r="B136">
        <v>135</v>
      </c>
      <c r="C136" t="str">
        <f t="shared" si="14"/>
        <v>INCOMPLETA</v>
      </c>
      <c r="D136" t="str">
        <f t="shared" si="15"/>
        <v>ERRO</v>
      </c>
      <c r="E136" t="str">
        <f t="shared" si="16"/>
        <v>QUANTIDADE_VAZIA; QUANTIDADE_NEGATIVA; PRECO_VAZIA; CLIENTE_VAZIA</v>
      </c>
      <c r="F136" cm="1">
        <f t="array" ref="F136">IF(ISERR(FIND("PRECO_VAZIA", INDEX(tbl_vendas564[Tipo_Erro], ROW()-ROW(tbl_vendas564[#Headers])))), 0, 1)</f>
        <v>1</v>
      </c>
      <c r="G136" cm="1">
        <f t="array" ref="G136">IF(ISERR(FIND("PRODUTO_VAZIA", INDEX(tbl_vendas564[Tipo_Erro], ROW()-ROW(tbl_vendas564[#Headers])))), 0, 1)</f>
        <v>0</v>
      </c>
      <c r="H136" cm="1">
        <f t="array" ref="H136">IF(ISERR(FIND("CLIENTE_VAZIA", INDEX(tbl_vendas564[Tipo_Erro], ROW()-ROW(tbl_vendas564[#Headers])))), 0, 1)</f>
        <v>1</v>
      </c>
      <c r="I136" cm="1">
        <f t="array" ref="I136">IF(ISERR(FIND("QUANTIDADE_NEGATIVA", INDEX(tbl_vendas564[Tipo_Erro], ROW()-ROW(tbl_vendas564[#Headers])))), 0, 1)</f>
        <v>1</v>
      </c>
      <c r="J136" cm="1">
        <f t="array" ref="J136">IF(ISERR(FIND("QUANTIDADE_VAZIA", INDEX(tbl_vendas564[Tipo_Erro], ROW()-ROW(tbl_vendas564[#Headers])))), 0, 1)</f>
        <v>1</v>
      </c>
      <c r="K136" cm="1">
        <f t="array" ref="K136">IF(ISERR(FIND("CIDADE_VAZIA", INDEX(tbl_vendas564[Tipo_Erro], ROW()-ROW(tbl_vendas564[#Headers])))), 0, 1)</f>
        <v>0</v>
      </c>
      <c r="L136" s="1" t="s">
        <v>130</v>
      </c>
      <c r="N136" t="s">
        <v>9</v>
      </c>
      <c r="O136">
        <v>-3</v>
      </c>
      <c r="P136" s="2">
        <v>-10</v>
      </c>
      <c r="Q136" s="3" t="str">
        <f t="shared" si="17"/>
        <v/>
      </c>
      <c r="R136" t="s">
        <v>17</v>
      </c>
    </row>
    <row r="137" spans="1:18" x14ac:dyDescent="0.25">
      <c r="A137">
        <f t="shared" si="18"/>
        <v>135</v>
      </c>
      <c r="B137">
        <v>136</v>
      </c>
      <c r="C137" t="str">
        <f t="shared" si="14"/>
        <v>COMPLETA</v>
      </c>
      <c r="D137" t="str">
        <f t="shared" si="15"/>
        <v>ERRO</v>
      </c>
      <c r="E137" t="str">
        <f t="shared" si="16"/>
        <v>QUANTIDADE_NEGATIVA</v>
      </c>
      <c r="F137" cm="1">
        <f t="array" ref="F137">IF(ISERR(FIND("PRECO_VAZIA", INDEX(tbl_vendas564[Tipo_Erro], ROW()-ROW(tbl_vendas564[#Headers])))), 0, 1)</f>
        <v>0</v>
      </c>
      <c r="G137" cm="1">
        <f t="array" ref="G137">IF(ISERR(FIND("PRODUTO_VAZIA", INDEX(tbl_vendas564[Tipo_Erro], ROW()-ROW(tbl_vendas564[#Headers])))), 0, 1)</f>
        <v>0</v>
      </c>
      <c r="H137" cm="1">
        <f t="array" ref="H137">IF(ISERR(FIND("CLIENTE_VAZIA", INDEX(tbl_vendas564[Tipo_Erro], ROW()-ROW(tbl_vendas564[#Headers])))), 0, 1)</f>
        <v>0</v>
      </c>
      <c r="I137" cm="1">
        <f t="array" ref="I137">IF(ISERR(FIND("QUANTIDADE_NEGATIVA", INDEX(tbl_vendas564[Tipo_Erro], ROW()-ROW(tbl_vendas564[#Headers])))), 0, 1)</f>
        <v>1</v>
      </c>
      <c r="J137" cm="1">
        <f t="array" ref="J137">IF(ISERR(FIND("QUANTIDADE_VAZIA", INDEX(tbl_vendas564[Tipo_Erro], ROW()-ROW(tbl_vendas564[#Headers])))), 0, 1)</f>
        <v>0</v>
      </c>
      <c r="K137" cm="1">
        <f t="array" ref="K137">IF(ISERR(FIND("CIDADE_VAZIA", INDEX(tbl_vendas564[Tipo_Erro], ROW()-ROW(tbl_vendas564[#Headers])))), 0, 1)</f>
        <v>0</v>
      </c>
      <c r="L137" s="1" t="s">
        <v>68</v>
      </c>
      <c r="M137" t="s">
        <v>33</v>
      </c>
      <c r="N137" t="s">
        <v>23</v>
      </c>
      <c r="O137">
        <v>-3</v>
      </c>
      <c r="P137" s="2" t="s">
        <v>35</v>
      </c>
      <c r="Q137" s="3" t="str">
        <f t="shared" si="17"/>
        <v>R$ 30</v>
      </c>
      <c r="R137" t="s">
        <v>17</v>
      </c>
    </row>
    <row r="138" spans="1:18" x14ac:dyDescent="0.25">
      <c r="A138">
        <f t="shared" si="18"/>
        <v>136</v>
      </c>
      <c r="B138">
        <v>137</v>
      </c>
      <c r="C138" t="str">
        <f t="shared" si="14"/>
        <v>INCOMPLETA</v>
      </c>
      <c r="D138" t="str">
        <f t="shared" si="15"/>
        <v>ERRO</v>
      </c>
      <c r="E138" t="str">
        <f t="shared" si="16"/>
        <v>CIDADE_VAZIA</v>
      </c>
      <c r="F138" cm="1">
        <f t="array" ref="F138">IF(ISERR(FIND("PRECO_VAZIA", INDEX(tbl_vendas564[Tipo_Erro], ROW()-ROW(tbl_vendas564[#Headers])))), 0, 1)</f>
        <v>0</v>
      </c>
      <c r="G138" cm="1">
        <f t="array" ref="G138">IF(ISERR(FIND("PRODUTO_VAZIA", INDEX(tbl_vendas564[Tipo_Erro], ROW()-ROW(tbl_vendas564[#Headers])))), 0, 1)</f>
        <v>0</v>
      </c>
      <c r="H138" cm="1">
        <f t="array" ref="H138">IF(ISERR(FIND("CLIENTE_VAZIA", INDEX(tbl_vendas564[Tipo_Erro], ROW()-ROW(tbl_vendas564[#Headers])))), 0, 1)</f>
        <v>0</v>
      </c>
      <c r="I138" cm="1">
        <f t="array" ref="I138">IF(ISERR(FIND("QUANTIDADE_NEGATIVA", INDEX(tbl_vendas564[Tipo_Erro], ROW()-ROW(tbl_vendas564[#Headers])))), 0, 1)</f>
        <v>0</v>
      </c>
      <c r="J138" cm="1">
        <f t="array" ref="J138">IF(ISERR(FIND("QUANTIDADE_VAZIA", INDEX(tbl_vendas564[Tipo_Erro], ROW()-ROW(tbl_vendas564[#Headers])))), 0, 1)</f>
        <v>0</v>
      </c>
      <c r="K138" cm="1">
        <f t="array" ref="K138">IF(ISERR(FIND("CIDADE_VAZIA", INDEX(tbl_vendas564[Tipo_Erro], ROW()-ROW(tbl_vendas564[#Headers])))), 0, 1)</f>
        <v>1</v>
      </c>
      <c r="L138" s="1" t="s">
        <v>131</v>
      </c>
      <c r="M138" t="s">
        <v>33</v>
      </c>
      <c r="N138" t="s">
        <v>23</v>
      </c>
      <c r="O138">
        <v>3</v>
      </c>
      <c r="P138" s="2">
        <v>55.68</v>
      </c>
      <c r="Q138" s="3">
        <f t="shared" si="17"/>
        <v>55.68</v>
      </c>
    </row>
    <row r="139" spans="1:18" x14ac:dyDescent="0.25">
      <c r="A139">
        <f t="shared" si="18"/>
        <v>137</v>
      </c>
      <c r="B139">
        <v>138</v>
      </c>
      <c r="C139" t="str">
        <f t="shared" si="14"/>
        <v>INCOMPLETA</v>
      </c>
      <c r="D139" t="str">
        <f t="shared" si="15"/>
        <v>ERRO</v>
      </c>
      <c r="E139" t="str">
        <f t="shared" si="16"/>
        <v>QUANTIDADE_VAZIA; PRECO_VAZIA; CLIENTE_VAZIA</v>
      </c>
      <c r="F139" cm="1">
        <f t="array" ref="F139">IF(ISERR(FIND("PRECO_VAZIA", INDEX(tbl_vendas564[Tipo_Erro], ROW()-ROW(tbl_vendas564[#Headers])))), 0, 1)</f>
        <v>1</v>
      </c>
      <c r="G139" cm="1">
        <f t="array" ref="G139">IF(ISERR(FIND("PRODUTO_VAZIA", INDEX(tbl_vendas564[Tipo_Erro], ROW()-ROW(tbl_vendas564[#Headers])))), 0, 1)</f>
        <v>0</v>
      </c>
      <c r="H139" cm="1">
        <f t="array" ref="H139">IF(ISERR(FIND("CLIENTE_VAZIA", INDEX(tbl_vendas564[Tipo_Erro], ROW()-ROW(tbl_vendas564[#Headers])))), 0, 1)</f>
        <v>1</v>
      </c>
      <c r="I139" cm="1">
        <f t="array" ref="I139">IF(ISERR(FIND("QUANTIDADE_NEGATIVA", INDEX(tbl_vendas564[Tipo_Erro], ROW()-ROW(tbl_vendas564[#Headers])))), 0, 1)</f>
        <v>0</v>
      </c>
      <c r="J139" cm="1">
        <f t="array" ref="J139">IF(ISERR(FIND("QUANTIDADE_VAZIA", INDEX(tbl_vendas564[Tipo_Erro], ROW()-ROW(tbl_vendas564[#Headers])))), 0, 1)</f>
        <v>1</v>
      </c>
      <c r="K139" cm="1">
        <f t="array" ref="K139">IF(ISERR(FIND("CIDADE_VAZIA", INDEX(tbl_vendas564[Tipo_Erro], ROW()-ROW(tbl_vendas564[#Headers])))), 0, 1)</f>
        <v>0</v>
      </c>
      <c r="L139" s="1" t="s">
        <v>132</v>
      </c>
      <c r="N139" t="s">
        <v>37</v>
      </c>
      <c r="O139">
        <v>10</v>
      </c>
      <c r="P139" s="2">
        <v>-10</v>
      </c>
      <c r="Q139" s="3" t="str">
        <f t="shared" si="17"/>
        <v/>
      </c>
      <c r="R139" t="s">
        <v>17</v>
      </c>
    </row>
    <row r="140" spans="1:18" x14ac:dyDescent="0.25">
      <c r="A140">
        <f t="shared" si="18"/>
        <v>138</v>
      </c>
      <c r="B140">
        <v>139</v>
      </c>
      <c r="C140" t="str">
        <f t="shared" si="14"/>
        <v>INCOMPLETA</v>
      </c>
      <c r="D140" t="str">
        <f t="shared" si="15"/>
        <v>ERRO</v>
      </c>
      <c r="E140" t="str">
        <f t="shared" si="16"/>
        <v>PRECO_VAZIA</v>
      </c>
      <c r="F140" cm="1">
        <f t="array" ref="F140">IF(ISERR(FIND("PRECO_VAZIA", INDEX(tbl_vendas564[Tipo_Erro], ROW()-ROW(tbl_vendas564[#Headers])))), 0, 1)</f>
        <v>1</v>
      </c>
      <c r="G140" cm="1">
        <f t="array" ref="G140">IF(ISERR(FIND("PRODUTO_VAZIA", INDEX(tbl_vendas564[Tipo_Erro], ROW()-ROW(tbl_vendas564[#Headers])))), 0, 1)</f>
        <v>0</v>
      </c>
      <c r="H140" cm="1">
        <f t="array" ref="H140">IF(ISERR(FIND("CLIENTE_VAZIA", INDEX(tbl_vendas564[Tipo_Erro], ROW()-ROW(tbl_vendas564[#Headers])))), 0, 1)</f>
        <v>0</v>
      </c>
      <c r="I140" cm="1">
        <f t="array" ref="I140">IF(ISERR(FIND("QUANTIDADE_NEGATIVA", INDEX(tbl_vendas564[Tipo_Erro], ROW()-ROW(tbl_vendas564[#Headers])))), 0, 1)</f>
        <v>0</v>
      </c>
      <c r="J140" cm="1">
        <f t="array" ref="J140">IF(ISERR(FIND("QUANTIDADE_VAZIA", INDEX(tbl_vendas564[Tipo_Erro], ROW()-ROW(tbl_vendas564[#Headers])))), 0, 1)</f>
        <v>0</v>
      </c>
      <c r="K140" cm="1">
        <f t="array" ref="K140">IF(ISERR(FIND("CIDADE_VAZIA", INDEX(tbl_vendas564[Tipo_Erro], ROW()-ROW(tbl_vendas564[#Headers])))), 0, 1)</f>
        <v>0</v>
      </c>
      <c r="L140" s="1" t="s">
        <v>77</v>
      </c>
      <c r="M140" t="s">
        <v>33</v>
      </c>
      <c r="N140" t="s">
        <v>37</v>
      </c>
      <c r="O140">
        <v>10</v>
      </c>
      <c r="P140" s="2"/>
      <c r="Q140" s="3" t="str">
        <f t="shared" si="17"/>
        <v/>
      </c>
      <c r="R140" t="s">
        <v>13</v>
      </c>
    </row>
    <row r="141" spans="1:18" x14ac:dyDescent="0.25">
      <c r="A141">
        <f t="shared" si="18"/>
        <v>139</v>
      </c>
      <c r="B141">
        <v>140</v>
      </c>
      <c r="C141" t="str">
        <f t="shared" si="14"/>
        <v>COMPLETA</v>
      </c>
      <c r="D141" t="str">
        <f t="shared" si="15"/>
        <v>ERRO</v>
      </c>
      <c r="E141" t="str">
        <f t="shared" si="16"/>
        <v/>
      </c>
      <c r="F141" cm="1">
        <f t="array" ref="F141">IF(ISERR(FIND("PRECO_VAZIA", INDEX(tbl_vendas564[Tipo_Erro], ROW()-ROW(tbl_vendas564[#Headers])))), 0, 1)</f>
        <v>0</v>
      </c>
      <c r="G141" cm="1">
        <f t="array" ref="G141">IF(ISERR(FIND("PRODUTO_VAZIA", INDEX(tbl_vendas564[Tipo_Erro], ROW()-ROW(tbl_vendas564[#Headers])))), 0, 1)</f>
        <v>0</v>
      </c>
      <c r="H141" cm="1">
        <f t="array" ref="H141">IF(ISERR(FIND("CLIENTE_VAZIA", INDEX(tbl_vendas564[Tipo_Erro], ROW()-ROW(tbl_vendas564[#Headers])))), 0, 1)</f>
        <v>0</v>
      </c>
      <c r="I141" cm="1">
        <f t="array" ref="I141">IF(ISERR(FIND("QUANTIDADE_NEGATIVA", INDEX(tbl_vendas564[Tipo_Erro], ROW()-ROW(tbl_vendas564[#Headers])))), 0, 1)</f>
        <v>0</v>
      </c>
      <c r="J141" cm="1">
        <f t="array" ref="J141">IF(ISERR(FIND("QUANTIDADE_VAZIA", INDEX(tbl_vendas564[Tipo_Erro], ROW()-ROW(tbl_vendas564[#Headers])))), 0, 1)</f>
        <v>0</v>
      </c>
      <c r="K141" cm="1">
        <f t="array" ref="K141">IF(ISERR(FIND("CIDADE_VAZIA", INDEX(tbl_vendas564[Tipo_Erro], ROW()-ROW(tbl_vendas564[#Headers])))), 0, 1)</f>
        <v>0</v>
      </c>
      <c r="L141" s="1" t="s">
        <v>133</v>
      </c>
      <c r="M141" t="s">
        <v>12</v>
      </c>
      <c r="N141" t="s">
        <v>19</v>
      </c>
      <c r="O141">
        <v>10</v>
      </c>
      <c r="P141" s="2" t="s">
        <v>35</v>
      </c>
      <c r="Q141" s="3" t="str">
        <f t="shared" si="17"/>
        <v>R$ 30</v>
      </c>
      <c r="R141" t="s">
        <v>10</v>
      </c>
    </row>
    <row r="142" spans="1:18" x14ac:dyDescent="0.25">
      <c r="A142">
        <f t="shared" si="18"/>
        <v>140</v>
      </c>
      <c r="B142">
        <v>141</v>
      </c>
      <c r="C142" t="str">
        <f t="shared" si="14"/>
        <v>INCOMPLETA</v>
      </c>
      <c r="D142" t="str">
        <f t="shared" si="15"/>
        <v>ERRO</v>
      </c>
      <c r="E142" t="str">
        <f t="shared" si="16"/>
        <v>QUANTIDADE_VAZIA; CLIENTE_VAZIA; PRODUTO_VAZIA; CIDADE_VAZIA</v>
      </c>
      <c r="F142" cm="1">
        <f t="array" ref="F142">IF(ISERR(FIND("PRECO_VAZIA", INDEX(tbl_vendas564[Tipo_Erro], ROW()-ROW(tbl_vendas564[#Headers])))), 0, 1)</f>
        <v>0</v>
      </c>
      <c r="G142" cm="1">
        <f t="array" ref="G142">IF(ISERR(FIND("PRODUTO_VAZIA", INDEX(tbl_vendas564[Tipo_Erro], ROW()-ROW(tbl_vendas564[#Headers])))), 0, 1)</f>
        <v>1</v>
      </c>
      <c r="H142" cm="1">
        <f t="array" ref="H142">IF(ISERR(FIND("CLIENTE_VAZIA", INDEX(tbl_vendas564[Tipo_Erro], ROW()-ROW(tbl_vendas564[#Headers])))), 0, 1)</f>
        <v>1</v>
      </c>
      <c r="I142" cm="1">
        <f t="array" ref="I142">IF(ISERR(FIND("QUANTIDADE_NEGATIVA", INDEX(tbl_vendas564[Tipo_Erro], ROW()-ROW(tbl_vendas564[#Headers])))), 0, 1)</f>
        <v>0</v>
      </c>
      <c r="J142" cm="1">
        <f t="array" ref="J142">IF(ISERR(FIND("QUANTIDADE_VAZIA", INDEX(tbl_vendas564[Tipo_Erro], ROW()-ROW(tbl_vendas564[#Headers])))), 0, 1)</f>
        <v>1</v>
      </c>
      <c r="K142" cm="1">
        <f t="array" ref="K142">IF(ISERR(FIND("CIDADE_VAZIA", INDEX(tbl_vendas564[Tipo_Erro], ROW()-ROW(tbl_vendas564[#Headers])))), 0, 1)</f>
        <v>1</v>
      </c>
      <c r="L142" s="1" t="s">
        <v>97</v>
      </c>
      <c r="O142">
        <v>10</v>
      </c>
      <c r="P142" s="2" t="s">
        <v>35</v>
      </c>
      <c r="Q142" s="3" t="str">
        <f t="shared" si="17"/>
        <v>R$ 30</v>
      </c>
    </row>
    <row r="143" spans="1:18" x14ac:dyDescent="0.25">
      <c r="A143">
        <f t="shared" si="18"/>
        <v>141</v>
      </c>
      <c r="B143">
        <v>142</v>
      </c>
      <c r="C143" t="str">
        <f t="shared" si="14"/>
        <v>INCOMPLETA</v>
      </c>
      <c r="D143" t="str">
        <f t="shared" si="15"/>
        <v>ERRO</v>
      </c>
      <c r="E143" t="str">
        <f t="shared" si="16"/>
        <v>PRECO_VAZIA</v>
      </c>
      <c r="F143" cm="1">
        <f t="array" ref="F143">IF(ISERR(FIND("PRECO_VAZIA", INDEX(tbl_vendas564[Tipo_Erro], ROW()-ROW(tbl_vendas564[#Headers])))), 0, 1)</f>
        <v>1</v>
      </c>
      <c r="G143" cm="1">
        <f t="array" ref="G143">IF(ISERR(FIND("PRODUTO_VAZIA", INDEX(tbl_vendas564[Tipo_Erro], ROW()-ROW(tbl_vendas564[#Headers])))), 0, 1)</f>
        <v>0</v>
      </c>
      <c r="H143" cm="1">
        <f t="array" ref="H143">IF(ISERR(FIND("CLIENTE_VAZIA", INDEX(tbl_vendas564[Tipo_Erro], ROW()-ROW(tbl_vendas564[#Headers])))), 0, 1)</f>
        <v>0</v>
      </c>
      <c r="I143" cm="1">
        <f t="array" ref="I143">IF(ISERR(FIND("QUANTIDADE_NEGATIVA", INDEX(tbl_vendas564[Tipo_Erro], ROW()-ROW(tbl_vendas564[#Headers])))), 0, 1)</f>
        <v>0</v>
      </c>
      <c r="J143" cm="1">
        <f t="array" ref="J143">IF(ISERR(FIND("QUANTIDADE_VAZIA", INDEX(tbl_vendas564[Tipo_Erro], ROW()-ROW(tbl_vendas564[#Headers])))), 0, 1)</f>
        <v>0</v>
      </c>
      <c r="K143" cm="1">
        <f t="array" ref="K143">IF(ISERR(FIND("CIDADE_VAZIA", INDEX(tbl_vendas564[Tipo_Erro], ROW()-ROW(tbl_vendas564[#Headers])))), 0, 1)</f>
        <v>0</v>
      </c>
      <c r="L143" s="1" t="s">
        <v>48</v>
      </c>
      <c r="M143" t="s">
        <v>8</v>
      </c>
      <c r="N143" t="s">
        <v>37</v>
      </c>
      <c r="P143" s="2">
        <v>-10</v>
      </c>
      <c r="Q143" s="3" t="str">
        <f t="shared" si="17"/>
        <v/>
      </c>
      <c r="R143" t="s">
        <v>21</v>
      </c>
    </row>
    <row r="144" spans="1:18" x14ac:dyDescent="0.25">
      <c r="A144">
        <f t="shared" si="18"/>
        <v>142</v>
      </c>
      <c r="B144">
        <v>143</v>
      </c>
      <c r="C144" t="str">
        <f t="shared" si="14"/>
        <v>INCOMPLETA</v>
      </c>
      <c r="D144" t="str">
        <f t="shared" si="15"/>
        <v>ERRO</v>
      </c>
      <c r="E144" t="str">
        <f t="shared" si="16"/>
        <v>PRECO_VAZIA</v>
      </c>
      <c r="F144" cm="1">
        <f t="array" ref="F144">IF(ISERR(FIND("PRECO_VAZIA", INDEX(tbl_vendas564[Tipo_Erro], ROW()-ROW(tbl_vendas564[#Headers])))), 0, 1)</f>
        <v>1</v>
      </c>
      <c r="G144" cm="1">
        <f t="array" ref="G144">IF(ISERR(FIND("PRODUTO_VAZIA", INDEX(tbl_vendas564[Tipo_Erro], ROW()-ROW(tbl_vendas564[#Headers])))), 0, 1)</f>
        <v>0</v>
      </c>
      <c r="H144" cm="1">
        <f t="array" ref="H144">IF(ISERR(FIND("CLIENTE_VAZIA", INDEX(tbl_vendas564[Tipo_Erro], ROW()-ROW(tbl_vendas564[#Headers])))), 0, 1)</f>
        <v>0</v>
      </c>
      <c r="I144" cm="1">
        <f t="array" ref="I144">IF(ISERR(FIND("QUANTIDADE_NEGATIVA", INDEX(tbl_vendas564[Tipo_Erro], ROW()-ROW(tbl_vendas564[#Headers])))), 0, 1)</f>
        <v>0</v>
      </c>
      <c r="J144" cm="1">
        <f t="array" ref="J144">IF(ISERR(FIND("QUANTIDADE_VAZIA", INDEX(tbl_vendas564[Tipo_Erro], ROW()-ROW(tbl_vendas564[#Headers])))), 0, 1)</f>
        <v>0</v>
      </c>
      <c r="K144" cm="1">
        <f t="array" ref="K144">IF(ISERR(FIND("CIDADE_VAZIA", INDEX(tbl_vendas564[Tipo_Erro], ROW()-ROW(tbl_vendas564[#Headers])))), 0, 1)</f>
        <v>0</v>
      </c>
      <c r="L144" s="1" t="s">
        <v>134</v>
      </c>
      <c r="M144" t="s">
        <v>12</v>
      </c>
      <c r="N144" t="s">
        <v>23</v>
      </c>
      <c r="P144" s="2">
        <v>-10</v>
      </c>
      <c r="Q144" s="3" t="str">
        <f t="shared" si="17"/>
        <v/>
      </c>
      <c r="R144" t="s">
        <v>17</v>
      </c>
    </row>
    <row r="145" spans="1:18" x14ac:dyDescent="0.25">
      <c r="A145">
        <f t="shared" si="18"/>
        <v>143</v>
      </c>
      <c r="B145">
        <v>144</v>
      </c>
      <c r="C145" t="str">
        <f t="shared" si="14"/>
        <v>INCOMPLETA</v>
      </c>
      <c r="D145" t="str">
        <f t="shared" si="15"/>
        <v>ERRO</v>
      </c>
      <c r="E145" t="str">
        <f t="shared" si="16"/>
        <v>CIDADE_VAZIA</v>
      </c>
      <c r="F145" cm="1">
        <f t="array" ref="F145">IF(ISERR(FIND("PRECO_VAZIA", INDEX(tbl_vendas564[Tipo_Erro], ROW()-ROW(tbl_vendas564[#Headers])))), 0, 1)</f>
        <v>0</v>
      </c>
      <c r="G145" cm="1">
        <f t="array" ref="G145">IF(ISERR(FIND("PRODUTO_VAZIA", INDEX(tbl_vendas564[Tipo_Erro], ROW()-ROW(tbl_vendas564[#Headers])))), 0, 1)</f>
        <v>0</v>
      </c>
      <c r="H145" cm="1">
        <f t="array" ref="H145">IF(ISERR(FIND("CLIENTE_VAZIA", INDEX(tbl_vendas564[Tipo_Erro], ROW()-ROW(tbl_vendas564[#Headers])))), 0, 1)</f>
        <v>0</v>
      </c>
      <c r="I145" cm="1">
        <f t="array" ref="I145">IF(ISERR(FIND("QUANTIDADE_NEGATIVA", INDEX(tbl_vendas564[Tipo_Erro], ROW()-ROW(tbl_vendas564[#Headers])))), 0, 1)</f>
        <v>0</v>
      </c>
      <c r="J145" cm="1">
        <f t="array" ref="J145">IF(ISERR(FIND("QUANTIDADE_VAZIA", INDEX(tbl_vendas564[Tipo_Erro], ROW()-ROW(tbl_vendas564[#Headers])))), 0, 1)</f>
        <v>0</v>
      </c>
      <c r="K145" cm="1">
        <f t="array" ref="K145">IF(ISERR(FIND("CIDADE_VAZIA", INDEX(tbl_vendas564[Tipo_Erro], ROW()-ROW(tbl_vendas564[#Headers])))), 0, 1)</f>
        <v>1</v>
      </c>
      <c r="L145" s="1" t="s">
        <v>135</v>
      </c>
      <c r="M145" t="s">
        <v>8</v>
      </c>
      <c r="N145" t="s">
        <v>23</v>
      </c>
      <c r="P145" s="2">
        <v>87.13</v>
      </c>
      <c r="Q145" s="3">
        <f t="shared" si="17"/>
        <v>87.13</v>
      </c>
    </row>
    <row r="146" spans="1:18" x14ac:dyDescent="0.25">
      <c r="A146">
        <f t="shared" si="18"/>
        <v>144</v>
      </c>
      <c r="B146">
        <v>146</v>
      </c>
      <c r="C146" t="str">
        <f t="shared" si="14"/>
        <v>COMPLETA</v>
      </c>
      <c r="D146" t="str">
        <f t="shared" si="15"/>
        <v>ERRO</v>
      </c>
      <c r="E146" t="str">
        <f t="shared" si="16"/>
        <v>QUANTIDADE_NEGATIVA</v>
      </c>
      <c r="F146" cm="1">
        <f t="array" ref="F146">IF(ISERR(FIND("PRECO_VAZIA", INDEX(tbl_vendas564[Tipo_Erro], ROW()-ROW(tbl_vendas564[#Headers])))), 0, 1)</f>
        <v>0</v>
      </c>
      <c r="G146" cm="1">
        <f t="array" ref="G146">IF(ISERR(FIND("PRODUTO_VAZIA", INDEX(tbl_vendas564[Tipo_Erro], ROW()-ROW(tbl_vendas564[#Headers])))), 0, 1)</f>
        <v>0</v>
      </c>
      <c r="H146" cm="1">
        <f t="array" ref="H146">IF(ISERR(FIND("CLIENTE_VAZIA", INDEX(tbl_vendas564[Tipo_Erro], ROW()-ROW(tbl_vendas564[#Headers])))), 0, 1)</f>
        <v>0</v>
      </c>
      <c r="I146" cm="1">
        <f t="array" ref="I146">IF(ISERR(FIND("QUANTIDADE_NEGATIVA", INDEX(tbl_vendas564[Tipo_Erro], ROW()-ROW(tbl_vendas564[#Headers])))), 0, 1)</f>
        <v>1</v>
      </c>
      <c r="J146" cm="1">
        <f t="array" ref="J146">IF(ISERR(FIND("QUANTIDADE_VAZIA", INDEX(tbl_vendas564[Tipo_Erro], ROW()-ROW(tbl_vendas564[#Headers])))), 0, 1)</f>
        <v>0</v>
      </c>
      <c r="K146" cm="1">
        <f t="array" ref="K146">IF(ISERR(FIND("CIDADE_VAZIA", INDEX(tbl_vendas564[Tipo_Erro], ROW()-ROW(tbl_vendas564[#Headers])))), 0, 1)</f>
        <v>0</v>
      </c>
      <c r="L146" s="1" t="s">
        <v>73</v>
      </c>
      <c r="M146" t="s">
        <v>12</v>
      </c>
      <c r="N146" t="s">
        <v>53</v>
      </c>
      <c r="O146">
        <v>-3</v>
      </c>
      <c r="P146" s="2" t="s">
        <v>35</v>
      </c>
      <c r="Q146" s="3" t="str">
        <f t="shared" si="17"/>
        <v>R$ 30</v>
      </c>
      <c r="R146" t="s">
        <v>21</v>
      </c>
    </row>
    <row r="147" spans="1:18" x14ac:dyDescent="0.25">
      <c r="A147">
        <f t="shared" si="18"/>
        <v>145</v>
      </c>
      <c r="B147">
        <v>147</v>
      </c>
      <c r="C147" t="str">
        <f t="shared" si="14"/>
        <v>INCOMPLETA</v>
      </c>
      <c r="D147" t="str">
        <f t="shared" si="15"/>
        <v>ERRO</v>
      </c>
      <c r="E147" t="str">
        <f t="shared" si="16"/>
        <v>PRECO_VAZIA</v>
      </c>
      <c r="F147" cm="1">
        <f t="array" ref="F147">IF(ISERR(FIND("PRECO_VAZIA", INDEX(tbl_vendas564[Tipo_Erro], ROW()-ROW(tbl_vendas564[#Headers])))), 0, 1)</f>
        <v>1</v>
      </c>
      <c r="G147" cm="1">
        <f t="array" ref="G147">IF(ISERR(FIND("PRODUTO_VAZIA", INDEX(tbl_vendas564[Tipo_Erro], ROW()-ROW(tbl_vendas564[#Headers])))), 0, 1)</f>
        <v>0</v>
      </c>
      <c r="H147" cm="1">
        <f t="array" ref="H147">IF(ISERR(FIND("CLIENTE_VAZIA", INDEX(tbl_vendas564[Tipo_Erro], ROW()-ROW(tbl_vendas564[#Headers])))), 0, 1)</f>
        <v>0</v>
      </c>
      <c r="I147" cm="1">
        <f t="array" ref="I147">IF(ISERR(FIND("QUANTIDADE_NEGATIVA", INDEX(tbl_vendas564[Tipo_Erro], ROW()-ROW(tbl_vendas564[#Headers])))), 0, 1)</f>
        <v>0</v>
      </c>
      <c r="J147" cm="1">
        <f t="array" ref="J147">IF(ISERR(FIND("QUANTIDADE_VAZIA", INDEX(tbl_vendas564[Tipo_Erro], ROW()-ROW(tbl_vendas564[#Headers])))), 0, 1)</f>
        <v>0</v>
      </c>
      <c r="K147" cm="1">
        <f t="array" ref="K147">IF(ISERR(FIND("CIDADE_VAZIA", INDEX(tbl_vendas564[Tipo_Erro], ROW()-ROW(tbl_vendas564[#Headers])))), 0, 1)</f>
        <v>0</v>
      </c>
      <c r="L147" s="1" t="s">
        <v>136</v>
      </c>
      <c r="M147" t="s">
        <v>12</v>
      </c>
      <c r="N147" t="s">
        <v>37</v>
      </c>
      <c r="O147">
        <v>10</v>
      </c>
      <c r="P147" s="2"/>
      <c r="Q147" s="3" t="str">
        <f t="shared" si="17"/>
        <v/>
      </c>
      <c r="R147" t="s">
        <v>17</v>
      </c>
    </row>
    <row r="148" spans="1:18" x14ac:dyDescent="0.25">
      <c r="A148">
        <f t="shared" si="18"/>
        <v>146</v>
      </c>
      <c r="B148">
        <v>148</v>
      </c>
      <c r="C148" t="str">
        <f t="shared" si="14"/>
        <v>INCOMPLETA</v>
      </c>
      <c r="D148" t="str">
        <f t="shared" si="15"/>
        <v>ERRO</v>
      </c>
      <c r="E148" t="str">
        <f t="shared" si="16"/>
        <v>PRECO_VAZIA</v>
      </c>
      <c r="F148" cm="1">
        <f t="array" ref="F148">IF(ISERR(FIND("PRECO_VAZIA", INDEX(tbl_vendas564[Tipo_Erro], ROW()-ROW(tbl_vendas564[#Headers])))), 0, 1)</f>
        <v>1</v>
      </c>
      <c r="G148" cm="1">
        <f t="array" ref="G148">IF(ISERR(FIND("PRODUTO_VAZIA", INDEX(tbl_vendas564[Tipo_Erro], ROW()-ROW(tbl_vendas564[#Headers])))), 0, 1)</f>
        <v>0</v>
      </c>
      <c r="H148" cm="1">
        <f t="array" ref="H148">IF(ISERR(FIND("CLIENTE_VAZIA", INDEX(tbl_vendas564[Tipo_Erro], ROW()-ROW(tbl_vendas564[#Headers])))), 0, 1)</f>
        <v>0</v>
      </c>
      <c r="I148" cm="1">
        <f t="array" ref="I148">IF(ISERR(FIND("QUANTIDADE_NEGATIVA", INDEX(tbl_vendas564[Tipo_Erro], ROW()-ROW(tbl_vendas564[#Headers])))), 0, 1)</f>
        <v>0</v>
      </c>
      <c r="J148" cm="1">
        <f t="array" ref="J148">IF(ISERR(FIND("QUANTIDADE_VAZIA", INDEX(tbl_vendas564[Tipo_Erro], ROW()-ROW(tbl_vendas564[#Headers])))), 0, 1)</f>
        <v>0</v>
      </c>
      <c r="K148" cm="1">
        <f t="array" ref="K148">IF(ISERR(FIND("CIDADE_VAZIA", INDEX(tbl_vendas564[Tipo_Erro], ROW()-ROW(tbl_vendas564[#Headers])))), 0, 1)</f>
        <v>0</v>
      </c>
      <c r="L148" s="1" t="s">
        <v>85</v>
      </c>
      <c r="M148" t="s">
        <v>12</v>
      </c>
      <c r="N148" t="s">
        <v>31</v>
      </c>
      <c r="P148" s="2"/>
      <c r="Q148" s="3" t="str">
        <f t="shared" si="17"/>
        <v/>
      </c>
      <c r="R148" t="s">
        <v>10</v>
      </c>
    </row>
    <row r="149" spans="1:18" x14ac:dyDescent="0.25">
      <c r="A149">
        <f t="shared" si="18"/>
        <v>147</v>
      </c>
      <c r="B149">
        <v>149</v>
      </c>
      <c r="C149" t="str">
        <f t="shared" si="14"/>
        <v>INCOMPLETA</v>
      </c>
      <c r="D149" t="str">
        <f t="shared" si="15"/>
        <v>ERRO</v>
      </c>
      <c r="E149" t="str">
        <f t="shared" si="16"/>
        <v>PRECO_VAZIA</v>
      </c>
      <c r="F149" cm="1">
        <f t="array" ref="F149">IF(ISERR(FIND("PRECO_VAZIA", INDEX(tbl_vendas564[Tipo_Erro], ROW()-ROW(tbl_vendas564[#Headers])))), 0, 1)</f>
        <v>1</v>
      </c>
      <c r="G149" cm="1">
        <f t="array" ref="G149">IF(ISERR(FIND("PRODUTO_VAZIA", INDEX(tbl_vendas564[Tipo_Erro], ROW()-ROW(tbl_vendas564[#Headers])))), 0, 1)</f>
        <v>0</v>
      </c>
      <c r="H149" cm="1">
        <f t="array" ref="H149">IF(ISERR(FIND("CLIENTE_VAZIA", INDEX(tbl_vendas564[Tipo_Erro], ROW()-ROW(tbl_vendas564[#Headers])))), 0, 1)</f>
        <v>0</v>
      </c>
      <c r="I149" cm="1">
        <f t="array" ref="I149">IF(ISERR(FIND("QUANTIDADE_NEGATIVA", INDEX(tbl_vendas564[Tipo_Erro], ROW()-ROW(tbl_vendas564[#Headers])))), 0, 1)</f>
        <v>0</v>
      </c>
      <c r="J149" cm="1">
        <f t="array" ref="J149">IF(ISERR(FIND("QUANTIDADE_VAZIA", INDEX(tbl_vendas564[Tipo_Erro], ROW()-ROW(tbl_vendas564[#Headers])))), 0, 1)</f>
        <v>0</v>
      </c>
      <c r="K149" cm="1">
        <f t="array" ref="K149">IF(ISERR(FIND("CIDADE_VAZIA", INDEX(tbl_vendas564[Tipo_Erro], ROW()-ROW(tbl_vendas564[#Headers])))), 0, 1)</f>
        <v>0</v>
      </c>
      <c r="L149" s="1" t="s">
        <v>83</v>
      </c>
      <c r="M149" t="s">
        <v>8</v>
      </c>
      <c r="N149" t="s">
        <v>23</v>
      </c>
      <c r="O149">
        <v>13</v>
      </c>
      <c r="P149" s="2">
        <v>-10</v>
      </c>
      <c r="Q149" s="3" t="str">
        <f t="shared" si="17"/>
        <v/>
      </c>
      <c r="R149" t="s">
        <v>21</v>
      </c>
    </row>
    <row r="150" spans="1:18" x14ac:dyDescent="0.25">
      <c r="A150">
        <f t="shared" si="18"/>
        <v>148</v>
      </c>
      <c r="B150">
        <v>150</v>
      </c>
      <c r="C150" t="str">
        <f t="shared" si="14"/>
        <v>COMPLETA</v>
      </c>
      <c r="D150" t="str">
        <f t="shared" si="15"/>
        <v>OK</v>
      </c>
      <c r="E150" t="str">
        <f t="shared" si="16"/>
        <v/>
      </c>
      <c r="F150" cm="1">
        <f t="array" ref="F150">IF(ISERR(FIND("PRECO_VAZIA", INDEX(tbl_vendas564[Tipo_Erro], ROW()-ROW(tbl_vendas564[#Headers])))), 0, 1)</f>
        <v>0</v>
      </c>
      <c r="G150" cm="1">
        <f t="array" ref="G150">IF(ISERR(FIND("PRODUTO_VAZIA", INDEX(tbl_vendas564[Tipo_Erro], ROW()-ROW(tbl_vendas564[#Headers])))), 0, 1)</f>
        <v>0</v>
      </c>
      <c r="H150" cm="1">
        <f t="array" ref="H150">IF(ISERR(FIND("CLIENTE_VAZIA", INDEX(tbl_vendas564[Tipo_Erro], ROW()-ROW(tbl_vendas564[#Headers])))), 0, 1)</f>
        <v>0</v>
      </c>
      <c r="I150" cm="1">
        <f t="array" ref="I150">IF(ISERR(FIND("QUANTIDADE_NEGATIVA", INDEX(tbl_vendas564[Tipo_Erro], ROW()-ROW(tbl_vendas564[#Headers])))), 0, 1)</f>
        <v>0</v>
      </c>
      <c r="J150" cm="1">
        <f t="array" ref="J150">IF(ISERR(FIND("QUANTIDADE_VAZIA", INDEX(tbl_vendas564[Tipo_Erro], ROW()-ROW(tbl_vendas564[#Headers])))), 0, 1)</f>
        <v>0</v>
      </c>
      <c r="K150" cm="1">
        <f t="array" ref="K150">IF(ISERR(FIND("CIDADE_VAZIA", INDEX(tbl_vendas564[Tipo_Erro], ROW()-ROW(tbl_vendas564[#Headers])))), 0, 1)</f>
        <v>0</v>
      </c>
      <c r="L150" t="s">
        <v>101</v>
      </c>
      <c r="M150" t="s">
        <v>33</v>
      </c>
      <c r="N150" t="s">
        <v>47</v>
      </c>
      <c r="O150">
        <v>10</v>
      </c>
      <c r="P150">
        <v>66.430000000000007</v>
      </c>
      <c r="Q150" s="3">
        <f t="shared" si="17"/>
        <v>66.430000000000007</v>
      </c>
      <c r="R150" t="s">
        <v>17</v>
      </c>
    </row>
    <row r="151" spans="1:18" x14ac:dyDescent="0.25">
      <c r="A151">
        <f t="shared" si="18"/>
        <v>149</v>
      </c>
      <c r="B151">
        <v>151</v>
      </c>
      <c r="C151" t="str">
        <f t="shared" si="14"/>
        <v>INCOMPLETA</v>
      </c>
      <c r="D151" t="str">
        <f t="shared" si="15"/>
        <v>ERRO</v>
      </c>
      <c r="E151" t="str">
        <f t="shared" si="16"/>
        <v>QUANTIDADE_NEGATIVA; PRECO_VAZIA</v>
      </c>
      <c r="F151" cm="1">
        <f t="array" ref="F151">IF(ISERR(FIND("PRECO_VAZIA", INDEX(tbl_vendas564[Tipo_Erro], ROW()-ROW(tbl_vendas564[#Headers])))), 0, 1)</f>
        <v>1</v>
      </c>
      <c r="G151" cm="1">
        <f t="array" ref="G151">IF(ISERR(FIND("PRODUTO_VAZIA", INDEX(tbl_vendas564[Tipo_Erro], ROW()-ROW(tbl_vendas564[#Headers])))), 0, 1)</f>
        <v>0</v>
      </c>
      <c r="H151" cm="1">
        <f t="array" ref="H151">IF(ISERR(FIND("CLIENTE_VAZIA", INDEX(tbl_vendas564[Tipo_Erro], ROW()-ROW(tbl_vendas564[#Headers])))), 0, 1)</f>
        <v>0</v>
      </c>
      <c r="I151" cm="1">
        <f t="array" ref="I151">IF(ISERR(FIND("QUANTIDADE_NEGATIVA", INDEX(tbl_vendas564[Tipo_Erro], ROW()-ROW(tbl_vendas564[#Headers])))), 0, 1)</f>
        <v>1</v>
      </c>
      <c r="J151" cm="1">
        <f t="array" ref="J151">IF(ISERR(FIND("QUANTIDADE_VAZIA", INDEX(tbl_vendas564[Tipo_Erro], ROW()-ROW(tbl_vendas564[#Headers])))), 0, 1)</f>
        <v>0</v>
      </c>
      <c r="K151" cm="1">
        <f t="array" ref="K151">IF(ISERR(FIND("CIDADE_VAZIA", INDEX(tbl_vendas564[Tipo_Erro], ROW()-ROW(tbl_vendas564[#Headers])))), 0, 1)</f>
        <v>0</v>
      </c>
      <c r="L151" s="1" t="s">
        <v>116</v>
      </c>
      <c r="M151" t="s">
        <v>33</v>
      </c>
      <c r="N151" t="s">
        <v>19</v>
      </c>
      <c r="O151">
        <v>-3</v>
      </c>
      <c r="P151" s="2"/>
      <c r="Q151" s="3" t="str">
        <f t="shared" si="17"/>
        <v/>
      </c>
      <c r="R151" t="s">
        <v>49</v>
      </c>
    </row>
    <row r="152" spans="1:18" x14ac:dyDescent="0.25">
      <c r="A152">
        <f t="shared" si="18"/>
        <v>150</v>
      </c>
      <c r="B152">
        <v>152</v>
      </c>
      <c r="C152" t="str">
        <f t="shared" si="14"/>
        <v>INCOMPLETA</v>
      </c>
      <c r="D152" t="str">
        <f t="shared" si="15"/>
        <v>ERRO</v>
      </c>
      <c r="E152" t="str">
        <f t="shared" si="16"/>
        <v>PRECO_VAZIA</v>
      </c>
      <c r="F152" cm="1">
        <f t="array" ref="F152">IF(ISERR(FIND("PRECO_VAZIA", INDEX(tbl_vendas564[Tipo_Erro], ROW()-ROW(tbl_vendas564[#Headers])))), 0, 1)</f>
        <v>1</v>
      </c>
      <c r="G152" cm="1">
        <f t="array" ref="G152">IF(ISERR(FIND("PRODUTO_VAZIA", INDEX(tbl_vendas564[Tipo_Erro], ROW()-ROW(tbl_vendas564[#Headers])))), 0, 1)</f>
        <v>0</v>
      </c>
      <c r="H152" cm="1">
        <f t="array" ref="H152">IF(ISERR(FIND("CLIENTE_VAZIA", INDEX(tbl_vendas564[Tipo_Erro], ROW()-ROW(tbl_vendas564[#Headers])))), 0, 1)</f>
        <v>0</v>
      </c>
      <c r="I152" cm="1">
        <f t="array" ref="I152">IF(ISERR(FIND("QUANTIDADE_NEGATIVA", INDEX(tbl_vendas564[Tipo_Erro], ROW()-ROW(tbl_vendas564[#Headers])))), 0, 1)</f>
        <v>0</v>
      </c>
      <c r="J152" cm="1">
        <f t="array" ref="J152">IF(ISERR(FIND("QUANTIDADE_VAZIA", INDEX(tbl_vendas564[Tipo_Erro], ROW()-ROW(tbl_vendas564[#Headers])))), 0, 1)</f>
        <v>0</v>
      </c>
      <c r="K152" cm="1">
        <f t="array" ref="K152">IF(ISERR(FIND("CIDADE_VAZIA", INDEX(tbl_vendas564[Tipo_Erro], ROW()-ROW(tbl_vendas564[#Headers])))), 0, 1)</f>
        <v>0</v>
      </c>
      <c r="L152" s="1" t="s">
        <v>137</v>
      </c>
      <c r="M152" t="s">
        <v>12</v>
      </c>
      <c r="N152" t="s">
        <v>47</v>
      </c>
      <c r="O152">
        <v>10</v>
      </c>
      <c r="P152" s="2"/>
      <c r="Q152" s="3" t="str">
        <f t="shared" si="17"/>
        <v/>
      </c>
      <c r="R152" t="s">
        <v>21</v>
      </c>
    </row>
    <row r="153" spans="1:18" x14ac:dyDescent="0.25">
      <c r="A153">
        <f t="shared" si="18"/>
        <v>151</v>
      </c>
      <c r="B153">
        <v>153</v>
      </c>
      <c r="C153" t="str">
        <f t="shared" si="14"/>
        <v>INCOMPLETA</v>
      </c>
      <c r="D153" t="str">
        <f t="shared" si="15"/>
        <v>ERRO</v>
      </c>
      <c r="E153" t="str">
        <f t="shared" si="16"/>
        <v>QUANTIDADE_VAZIA; PRECO_VAZIA; CLIENTE_VAZIA; PRODUTO_VAZIA</v>
      </c>
      <c r="F153" cm="1">
        <f t="array" ref="F153">IF(ISERR(FIND("PRECO_VAZIA", INDEX(tbl_vendas564[Tipo_Erro], ROW()-ROW(tbl_vendas564[#Headers])))), 0, 1)</f>
        <v>1</v>
      </c>
      <c r="G153" cm="1">
        <f t="array" ref="G153">IF(ISERR(FIND("PRODUTO_VAZIA", INDEX(tbl_vendas564[Tipo_Erro], ROW()-ROW(tbl_vendas564[#Headers])))), 0, 1)</f>
        <v>1</v>
      </c>
      <c r="H153" cm="1">
        <f t="array" ref="H153">IF(ISERR(FIND("CLIENTE_VAZIA", INDEX(tbl_vendas564[Tipo_Erro], ROW()-ROW(tbl_vendas564[#Headers])))), 0, 1)</f>
        <v>1</v>
      </c>
      <c r="I153" cm="1">
        <f t="array" ref="I153">IF(ISERR(FIND("QUANTIDADE_NEGATIVA", INDEX(tbl_vendas564[Tipo_Erro], ROW()-ROW(tbl_vendas564[#Headers])))), 0, 1)</f>
        <v>0</v>
      </c>
      <c r="J153" cm="1">
        <f t="array" ref="J153">IF(ISERR(FIND("QUANTIDADE_VAZIA", INDEX(tbl_vendas564[Tipo_Erro], ROW()-ROW(tbl_vendas564[#Headers])))), 0, 1)</f>
        <v>1</v>
      </c>
      <c r="K153" cm="1">
        <f t="array" ref="K153">IF(ISERR(FIND("CIDADE_VAZIA", INDEX(tbl_vendas564[Tipo_Erro], ROW()-ROW(tbl_vendas564[#Headers])))), 0, 1)</f>
        <v>0</v>
      </c>
      <c r="L153" s="1" t="s">
        <v>130</v>
      </c>
      <c r="O153">
        <v>10</v>
      </c>
      <c r="P153" s="2"/>
      <c r="Q153" s="3" t="str">
        <f t="shared" si="17"/>
        <v/>
      </c>
      <c r="R153" t="s">
        <v>13</v>
      </c>
    </row>
    <row r="154" spans="1:18" x14ac:dyDescent="0.25">
      <c r="A154">
        <f t="shared" si="18"/>
        <v>152</v>
      </c>
      <c r="B154">
        <v>154</v>
      </c>
      <c r="C154" t="str">
        <f t="shared" si="14"/>
        <v>INCOMPLETA</v>
      </c>
      <c r="D154" t="str">
        <f t="shared" si="15"/>
        <v>ERRO</v>
      </c>
      <c r="E154" t="str">
        <f t="shared" si="16"/>
        <v/>
      </c>
      <c r="F154" cm="1">
        <f t="array" ref="F154">IF(ISERR(FIND("PRECO_VAZIA", INDEX(tbl_vendas564[Tipo_Erro], ROW()-ROW(tbl_vendas564[#Headers])))), 0, 1)</f>
        <v>0</v>
      </c>
      <c r="G154" cm="1">
        <f t="array" ref="G154">IF(ISERR(FIND("PRODUTO_VAZIA", INDEX(tbl_vendas564[Tipo_Erro], ROW()-ROW(tbl_vendas564[#Headers])))), 0, 1)</f>
        <v>0</v>
      </c>
      <c r="H154" cm="1">
        <f t="array" ref="H154">IF(ISERR(FIND("CLIENTE_VAZIA", INDEX(tbl_vendas564[Tipo_Erro], ROW()-ROW(tbl_vendas564[#Headers])))), 0, 1)</f>
        <v>0</v>
      </c>
      <c r="I154" cm="1">
        <f t="array" ref="I154">IF(ISERR(FIND("QUANTIDADE_NEGATIVA", INDEX(tbl_vendas564[Tipo_Erro], ROW()-ROW(tbl_vendas564[#Headers])))), 0, 1)</f>
        <v>0</v>
      </c>
      <c r="J154" cm="1">
        <f t="array" ref="J154">IF(ISERR(FIND("QUANTIDADE_VAZIA", INDEX(tbl_vendas564[Tipo_Erro], ROW()-ROW(tbl_vendas564[#Headers])))), 0, 1)</f>
        <v>0</v>
      </c>
      <c r="K154" cm="1">
        <f t="array" ref="K154">IF(ISERR(FIND("CIDADE_VAZIA", INDEX(tbl_vendas564[Tipo_Erro], ROW()-ROW(tbl_vendas564[#Headers])))), 0, 1)</f>
        <v>0</v>
      </c>
      <c r="L154" s="1" t="s">
        <v>138</v>
      </c>
      <c r="M154" t="s">
        <v>26</v>
      </c>
      <c r="N154" t="s">
        <v>15</v>
      </c>
      <c r="P154" s="2">
        <v>382.51</v>
      </c>
      <c r="Q154" s="3">
        <f t="shared" si="17"/>
        <v>382.51</v>
      </c>
      <c r="R154" t="s">
        <v>13</v>
      </c>
    </row>
    <row r="155" spans="1:18" x14ac:dyDescent="0.25">
      <c r="A155">
        <f t="shared" si="18"/>
        <v>153</v>
      </c>
      <c r="B155">
        <v>155</v>
      </c>
      <c r="C155" t="str">
        <f t="shared" si="14"/>
        <v>INCOMPLETA</v>
      </c>
      <c r="D155" t="str">
        <f t="shared" si="15"/>
        <v>ERRO</v>
      </c>
      <c r="E155" t="str">
        <f t="shared" si="16"/>
        <v>QUANTIDADE_NEGATIVA; CIDADE_VAZIA</v>
      </c>
      <c r="F155" cm="1">
        <f t="array" ref="F155">IF(ISERR(FIND("PRECO_VAZIA", INDEX(tbl_vendas564[Tipo_Erro], ROW()-ROW(tbl_vendas564[#Headers])))), 0, 1)</f>
        <v>0</v>
      </c>
      <c r="G155" cm="1">
        <f t="array" ref="G155">IF(ISERR(FIND("PRODUTO_VAZIA", INDEX(tbl_vendas564[Tipo_Erro], ROW()-ROW(tbl_vendas564[#Headers])))), 0, 1)</f>
        <v>0</v>
      </c>
      <c r="H155" cm="1">
        <f t="array" ref="H155">IF(ISERR(FIND("CLIENTE_VAZIA", INDEX(tbl_vendas564[Tipo_Erro], ROW()-ROW(tbl_vendas564[#Headers])))), 0, 1)</f>
        <v>0</v>
      </c>
      <c r="I155" cm="1">
        <f t="array" ref="I155">IF(ISERR(FIND("QUANTIDADE_NEGATIVA", INDEX(tbl_vendas564[Tipo_Erro], ROW()-ROW(tbl_vendas564[#Headers])))), 0, 1)</f>
        <v>1</v>
      </c>
      <c r="J155" cm="1">
        <f t="array" ref="J155">IF(ISERR(FIND("QUANTIDADE_VAZIA", INDEX(tbl_vendas564[Tipo_Erro], ROW()-ROW(tbl_vendas564[#Headers])))), 0, 1)</f>
        <v>0</v>
      </c>
      <c r="K155" cm="1">
        <f t="array" ref="K155">IF(ISERR(FIND("CIDADE_VAZIA", INDEX(tbl_vendas564[Tipo_Erro], ROW()-ROW(tbl_vendas564[#Headers])))), 0, 1)</f>
        <v>1</v>
      </c>
      <c r="L155" s="1" t="s">
        <v>139</v>
      </c>
      <c r="M155" t="s">
        <v>33</v>
      </c>
      <c r="N155" t="s">
        <v>31</v>
      </c>
      <c r="O155">
        <v>-3</v>
      </c>
      <c r="P155" s="2" t="s">
        <v>35</v>
      </c>
      <c r="Q155" s="3" t="str">
        <f t="shared" si="17"/>
        <v>R$ 30</v>
      </c>
    </row>
    <row r="156" spans="1:18" x14ac:dyDescent="0.25">
      <c r="A156">
        <f t="shared" si="18"/>
        <v>154</v>
      </c>
      <c r="B156">
        <v>156</v>
      </c>
      <c r="C156" t="str">
        <f t="shared" si="14"/>
        <v>COMPLETA</v>
      </c>
      <c r="D156" t="str">
        <f t="shared" si="15"/>
        <v>OK</v>
      </c>
      <c r="E156" t="str">
        <f t="shared" si="16"/>
        <v/>
      </c>
      <c r="F156" cm="1">
        <f t="array" ref="F156">IF(ISERR(FIND("PRECO_VAZIA", INDEX(tbl_vendas564[Tipo_Erro], ROW()-ROW(tbl_vendas564[#Headers])))), 0, 1)</f>
        <v>0</v>
      </c>
      <c r="G156" cm="1">
        <f t="array" ref="G156">IF(ISERR(FIND("PRODUTO_VAZIA", INDEX(tbl_vendas564[Tipo_Erro], ROW()-ROW(tbl_vendas564[#Headers])))), 0, 1)</f>
        <v>0</v>
      </c>
      <c r="H156" cm="1">
        <f t="array" ref="H156">IF(ISERR(FIND("CLIENTE_VAZIA", INDEX(tbl_vendas564[Tipo_Erro], ROW()-ROW(tbl_vendas564[#Headers])))), 0, 1)</f>
        <v>0</v>
      </c>
      <c r="I156" cm="1">
        <f t="array" ref="I156">IF(ISERR(FIND("QUANTIDADE_NEGATIVA", INDEX(tbl_vendas564[Tipo_Erro], ROW()-ROW(tbl_vendas564[#Headers])))), 0, 1)</f>
        <v>0</v>
      </c>
      <c r="J156" cm="1">
        <f t="array" ref="J156">IF(ISERR(FIND("QUANTIDADE_VAZIA", INDEX(tbl_vendas564[Tipo_Erro], ROW()-ROW(tbl_vendas564[#Headers])))), 0, 1)</f>
        <v>0</v>
      </c>
      <c r="K156" cm="1">
        <f t="array" ref="K156">IF(ISERR(FIND("CIDADE_VAZIA", INDEX(tbl_vendas564[Tipo_Erro], ROW()-ROW(tbl_vendas564[#Headers])))), 0, 1)</f>
        <v>0</v>
      </c>
      <c r="L156" t="s">
        <v>42</v>
      </c>
      <c r="M156" t="s">
        <v>12</v>
      </c>
      <c r="N156" t="s">
        <v>31</v>
      </c>
      <c r="O156">
        <v>10</v>
      </c>
      <c r="P156">
        <v>400.2</v>
      </c>
      <c r="Q156" s="3">
        <f t="shared" si="17"/>
        <v>400.2</v>
      </c>
      <c r="R156" t="s">
        <v>17</v>
      </c>
    </row>
    <row r="157" spans="1:18" x14ac:dyDescent="0.25">
      <c r="A157">
        <f t="shared" si="18"/>
        <v>155</v>
      </c>
      <c r="B157">
        <v>157</v>
      </c>
      <c r="C157" t="str">
        <f t="shared" si="14"/>
        <v>COMPLETA</v>
      </c>
      <c r="D157" t="str">
        <f t="shared" si="15"/>
        <v>ERRO</v>
      </c>
      <c r="E157" t="str">
        <f t="shared" si="16"/>
        <v/>
      </c>
      <c r="F157" cm="1">
        <f t="array" ref="F157">IF(ISERR(FIND("PRECO_VAZIA", INDEX(tbl_vendas564[Tipo_Erro], ROW()-ROW(tbl_vendas564[#Headers])))), 0, 1)</f>
        <v>0</v>
      </c>
      <c r="G157" cm="1">
        <f t="array" ref="G157">IF(ISERR(FIND("PRODUTO_VAZIA", INDEX(tbl_vendas564[Tipo_Erro], ROW()-ROW(tbl_vendas564[#Headers])))), 0, 1)</f>
        <v>0</v>
      </c>
      <c r="H157" cm="1">
        <f t="array" ref="H157">IF(ISERR(FIND("CLIENTE_VAZIA", INDEX(tbl_vendas564[Tipo_Erro], ROW()-ROW(tbl_vendas564[#Headers])))), 0, 1)</f>
        <v>0</v>
      </c>
      <c r="I157" cm="1">
        <f t="array" ref="I157">IF(ISERR(FIND("QUANTIDADE_NEGATIVA", INDEX(tbl_vendas564[Tipo_Erro], ROW()-ROW(tbl_vendas564[#Headers])))), 0, 1)</f>
        <v>0</v>
      </c>
      <c r="J157" cm="1">
        <f t="array" ref="J157">IF(ISERR(FIND("QUANTIDADE_VAZIA", INDEX(tbl_vendas564[Tipo_Erro], ROW()-ROW(tbl_vendas564[#Headers])))), 0, 1)</f>
        <v>0</v>
      </c>
      <c r="K157" cm="1">
        <f t="array" ref="K157">IF(ISERR(FIND("CIDADE_VAZIA", INDEX(tbl_vendas564[Tipo_Erro], ROW()-ROW(tbl_vendas564[#Headers])))), 0, 1)</f>
        <v>0</v>
      </c>
      <c r="L157" s="1" t="s">
        <v>135</v>
      </c>
      <c r="M157" t="s">
        <v>33</v>
      </c>
      <c r="N157" t="s">
        <v>31</v>
      </c>
      <c r="O157">
        <v>2</v>
      </c>
      <c r="P157" s="2" t="s">
        <v>35</v>
      </c>
      <c r="Q157" s="3" t="str">
        <f t="shared" si="17"/>
        <v>R$ 30</v>
      </c>
      <c r="R157" t="s">
        <v>21</v>
      </c>
    </row>
    <row r="158" spans="1:18" x14ac:dyDescent="0.25">
      <c r="A158">
        <f t="shared" si="18"/>
        <v>156</v>
      </c>
      <c r="B158">
        <v>158</v>
      </c>
      <c r="C158" t="str">
        <f t="shared" si="14"/>
        <v>INCOMPLETA</v>
      </c>
      <c r="D158" t="str">
        <f t="shared" si="15"/>
        <v>ERRO</v>
      </c>
      <c r="E158" t="str">
        <f t="shared" si="16"/>
        <v>QUANTIDADE_VAZIA; QUANTIDADE_NEGATIVA; CLIENTE_VAZIA; PRODUTO_VAZIA</v>
      </c>
      <c r="F158" cm="1">
        <f t="array" ref="F158">IF(ISERR(FIND("PRECO_VAZIA", INDEX(tbl_vendas564[Tipo_Erro], ROW()-ROW(tbl_vendas564[#Headers])))), 0, 1)</f>
        <v>0</v>
      </c>
      <c r="G158" cm="1">
        <f t="array" ref="G158">IF(ISERR(FIND("PRODUTO_VAZIA", INDEX(tbl_vendas564[Tipo_Erro], ROW()-ROW(tbl_vendas564[#Headers])))), 0, 1)</f>
        <v>1</v>
      </c>
      <c r="H158" cm="1">
        <f t="array" ref="H158">IF(ISERR(FIND("CLIENTE_VAZIA", INDEX(tbl_vendas564[Tipo_Erro], ROW()-ROW(tbl_vendas564[#Headers])))), 0, 1)</f>
        <v>1</v>
      </c>
      <c r="I158" cm="1">
        <f t="array" ref="I158">IF(ISERR(FIND("QUANTIDADE_NEGATIVA", INDEX(tbl_vendas564[Tipo_Erro], ROW()-ROW(tbl_vendas564[#Headers])))), 0, 1)</f>
        <v>1</v>
      </c>
      <c r="J158" cm="1">
        <f t="array" ref="J158">IF(ISERR(FIND("QUANTIDADE_VAZIA", INDEX(tbl_vendas564[Tipo_Erro], ROW()-ROW(tbl_vendas564[#Headers])))), 0, 1)</f>
        <v>1</v>
      </c>
      <c r="K158" cm="1">
        <f t="array" ref="K158">IF(ISERR(FIND("CIDADE_VAZIA", INDEX(tbl_vendas564[Tipo_Erro], ROW()-ROW(tbl_vendas564[#Headers])))), 0, 1)</f>
        <v>0</v>
      </c>
      <c r="L158" s="1" t="s">
        <v>91</v>
      </c>
      <c r="O158">
        <v>-3</v>
      </c>
      <c r="P158" s="2">
        <v>294.36</v>
      </c>
      <c r="Q158" s="3">
        <f t="shared" si="17"/>
        <v>294.36</v>
      </c>
      <c r="R158" t="s">
        <v>49</v>
      </c>
    </row>
    <row r="159" spans="1:18" x14ac:dyDescent="0.25">
      <c r="A159">
        <f t="shared" si="18"/>
        <v>157</v>
      </c>
      <c r="B159">
        <v>159</v>
      </c>
      <c r="C159" t="str">
        <f t="shared" si="14"/>
        <v>COMPLETA</v>
      </c>
      <c r="D159" t="str">
        <f t="shared" si="15"/>
        <v>ERRO</v>
      </c>
      <c r="E159" t="str">
        <f t="shared" si="16"/>
        <v>QUANTIDADE_NEGATIVA</v>
      </c>
      <c r="F159" cm="1">
        <f t="array" ref="F159">IF(ISERR(FIND("PRECO_VAZIA", INDEX(tbl_vendas564[Tipo_Erro], ROW()-ROW(tbl_vendas564[#Headers])))), 0, 1)</f>
        <v>0</v>
      </c>
      <c r="G159" cm="1">
        <f t="array" ref="G159">IF(ISERR(FIND("PRODUTO_VAZIA", INDEX(tbl_vendas564[Tipo_Erro], ROW()-ROW(tbl_vendas564[#Headers])))), 0, 1)</f>
        <v>0</v>
      </c>
      <c r="H159" cm="1">
        <f t="array" ref="H159">IF(ISERR(FIND("CLIENTE_VAZIA", INDEX(tbl_vendas564[Tipo_Erro], ROW()-ROW(tbl_vendas564[#Headers])))), 0, 1)</f>
        <v>0</v>
      </c>
      <c r="I159" cm="1">
        <f t="array" ref="I159">IF(ISERR(FIND("QUANTIDADE_NEGATIVA", INDEX(tbl_vendas564[Tipo_Erro], ROW()-ROW(tbl_vendas564[#Headers])))), 0, 1)</f>
        <v>1</v>
      </c>
      <c r="J159" cm="1">
        <f t="array" ref="J159">IF(ISERR(FIND("QUANTIDADE_VAZIA", INDEX(tbl_vendas564[Tipo_Erro], ROW()-ROW(tbl_vendas564[#Headers])))), 0, 1)</f>
        <v>0</v>
      </c>
      <c r="K159" cm="1">
        <f t="array" ref="K159">IF(ISERR(FIND("CIDADE_VAZIA", INDEX(tbl_vendas564[Tipo_Erro], ROW()-ROW(tbl_vendas564[#Headers])))), 0, 1)</f>
        <v>0</v>
      </c>
      <c r="L159" s="1" t="s">
        <v>45</v>
      </c>
      <c r="M159" t="s">
        <v>26</v>
      </c>
      <c r="N159" t="s">
        <v>19</v>
      </c>
      <c r="O159">
        <v>-3</v>
      </c>
      <c r="P159" s="2">
        <v>255.67</v>
      </c>
      <c r="Q159" s="3">
        <f t="shared" si="17"/>
        <v>255.67</v>
      </c>
      <c r="R159" t="s">
        <v>49</v>
      </c>
    </row>
    <row r="160" spans="1:18" x14ac:dyDescent="0.25">
      <c r="A160">
        <f t="shared" si="18"/>
        <v>158</v>
      </c>
      <c r="B160">
        <v>160</v>
      </c>
      <c r="C160" t="str">
        <f t="shared" si="14"/>
        <v>INCOMPLETA</v>
      </c>
      <c r="D160" t="str">
        <f t="shared" si="15"/>
        <v>ERRO</v>
      </c>
      <c r="E160" t="str">
        <f t="shared" si="16"/>
        <v>PRECO_VAZIA; PRODUTO_VAZIA</v>
      </c>
      <c r="F160" cm="1">
        <f t="array" ref="F160">IF(ISERR(FIND("PRECO_VAZIA", INDEX(tbl_vendas564[Tipo_Erro], ROW()-ROW(tbl_vendas564[#Headers])))), 0, 1)</f>
        <v>1</v>
      </c>
      <c r="G160" cm="1">
        <f t="array" ref="G160">IF(ISERR(FIND("PRODUTO_VAZIA", INDEX(tbl_vendas564[Tipo_Erro], ROW()-ROW(tbl_vendas564[#Headers])))), 0, 1)</f>
        <v>1</v>
      </c>
      <c r="H160" cm="1">
        <f t="array" ref="H160">IF(ISERR(FIND("CLIENTE_VAZIA", INDEX(tbl_vendas564[Tipo_Erro], ROW()-ROW(tbl_vendas564[#Headers])))), 0, 1)</f>
        <v>0</v>
      </c>
      <c r="I160" cm="1">
        <f t="array" ref="I160">IF(ISERR(FIND("QUANTIDADE_NEGATIVA", INDEX(tbl_vendas564[Tipo_Erro], ROW()-ROW(tbl_vendas564[#Headers])))), 0, 1)</f>
        <v>0</v>
      </c>
      <c r="J160" cm="1">
        <f t="array" ref="J160">IF(ISERR(FIND("QUANTIDADE_VAZIA", INDEX(tbl_vendas564[Tipo_Erro], ROW()-ROW(tbl_vendas564[#Headers])))), 0, 1)</f>
        <v>0</v>
      </c>
      <c r="K160" cm="1">
        <f t="array" ref="K160">IF(ISERR(FIND("CIDADE_VAZIA", INDEX(tbl_vendas564[Tipo_Erro], ROW()-ROW(tbl_vendas564[#Headers])))), 0, 1)</f>
        <v>0</v>
      </c>
      <c r="L160" s="1" t="s">
        <v>140</v>
      </c>
      <c r="M160" t="s">
        <v>12</v>
      </c>
      <c r="O160">
        <v>6</v>
      </c>
      <c r="P160" s="2">
        <v>-10</v>
      </c>
      <c r="Q160" s="3" t="str">
        <f t="shared" si="17"/>
        <v/>
      </c>
      <c r="R160" t="s">
        <v>49</v>
      </c>
    </row>
    <row r="161" spans="1:18" x14ac:dyDescent="0.25">
      <c r="A161">
        <f t="shared" si="18"/>
        <v>159</v>
      </c>
      <c r="B161">
        <v>161</v>
      </c>
      <c r="C161" t="str">
        <f t="shared" si="14"/>
        <v>INCOMPLETA</v>
      </c>
      <c r="D161" t="str">
        <f t="shared" si="15"/>
        <v>ERRO</v>
      </c>
      <c r="E161" t="str">
        <f t="shared" si="16"/>
        <v>CIDADE_VAZIA</v>
      </c>
      <c r="F161" cm="1">
        <f t="array" ref="F161">IF(ISERR(FIND("PRECO_VAZIA", INDEX(tbl_vendas564[Tipo_Erro], ROW()-ROW(tbl_vendas564[#Headers])))), 0, 1)</f>
        <v>0</v>
      </c>
      <c r="G161" cm="1">
        <f t="array" ref="G161">IF(ISERR(FIND("PRODUTO_VAZIA", INDEX(tbl_vendas564[Tipo_Erro], ROW()-ROW(tbl_vendas564[#Headers])))), 0, 1)</f>
        <v>0</v>
      </c>
      <c r="H161" cm="1">
        <f t="array" ref="H161">IF(ISERR(FIND("CLIENTE_VAZIA", INDEX(tbl_vendas564[Tipo_Erro], ROW()-ROW(tbl_vendas564[#Headers])))), 0, 1)</f>
        <v>0</v>
      </c>
      <c r="I161" cm="1">
        <f t="array" ref="I161">IF(ISERR(FIND("QUANTIDADE_NEGATIVA", INDEX(tbl_vendas564[Tipo_Erro], ROW()-ROW(tbl_vendas564[#Headers])))), 0, 1)</f>
        <v>0</v>
      </c>
      <c r="J161" cm="1">
        <f t="array" ref="J161">IF(ISERR(FIND("QUANTIDADE_VAZIA", INDEX(tbl_vendas564[Tipo_Erro], ROW()-ROW(tbl_vendas564[#Headers])))), 0, 1)</f>
        <v>0</v>
      </c>
      <c r="K161" cm="1">
        <f t="array" ref="K161">IF(ISERR(FIND("CIDADE_VAZIA", INDEX(tbl_vendas564[Tipo_Erro], ROW()-ROW(tbl_vendas564[#Headers])))), 0, 1)</f>
        <v>1</v>
      </c>
      <c r="L161" s="1" t="s">
        <v>141</v>
      </c>
      <c r="M161" t="s">
        <v>26</v>
      </c>
      <c r="N161" t="s">
        <v>19</v>
      </c>
      <c r="O161">
        <v>10</v>
      </c>
      <c r="P161" s="2" t="s">
        <v>35</v>
      </c>
      <c r="Q161" s="3" t="str">
        <f t="shared" si="17"/>
        <v>R$ 30</v>
      </c>
    </row>
    <row r="162" spans="1:18" x14ac:dyDescent="0.25">
      <c r="A162">
        <f t="shared" si="18"/>
        <v>160</v>
      </c>
      <c r="B162">
        <v>162</v>
      </c>
      <c r="C162" t="str">
        <f t="shared" ref="C162:C193" si="19">IF(AND(B162&lt;&gt;"",L162&lt;&gt;"",M162&lt;&gt;"",N162&lt;&gt;"",O162&lt;&gt;"",Q162&lt;&gt;"",R162&lt;&gt;""),"COMPLETA","INCOMPLETA")</f>
        <v>INCOMPLETA</v>
      </c>
      <c r="D162" t="str">
        <f t="shared" ref="D162:D193" si="20">IF(AND(C162="COMPLETA", ISNUMBER(O162), O162&gt;0, ISNUMBER(Q162), Q162&gt;0), "OK", "ERRO")</f>
        <v>ERRO</v>
      </c>
      <c r="E162" t="str">
        <f t="shared" si="16"/>
        <v>PRECO_VAZIA</v>
      </c>
      <c r="F162" cm="1">
        <f t="array" ref="F162">IF(ISERR(FIND("PRECO_VAZIA", INDEX(tbl_vendas564[Tipo_Erro], ROW()-ROW(tbl_vendas564[#Headers])))), 0, 1)</f>
        <v>1</v>
      </c>
      <c r="G162" cm="1">
        <f t="array" ref="G162">IF(ISERR(FIND("PRODUTO_VAZIA", INDEX(tbl_vendas564[Tipo_Erro], ROW()-ROW(tbl_vendas564[#Headers])))), 0, 1)</f>
        <v>0</v>
      </c>
      <c r="H162" cm="1">
        <f t="array" ref="H162">IF(ISERR(FIND("CLIENTE_VAZIA", INDEX(tbl_vendas564[Tipo_Erro], ROW()-ROW(tbl_vendas564[#Headers])))), 0, 1)</f>
        <v>0</v>
      </c>
      <c r="I162" cm="1">
        <f t="array" ref="I162">IF(ISERR(FIND("QUANTIDADE_NEGATIVA", INDEX(tbl_vendas564[Tipo_Erro], ROW()-ROW(tbl_vendas564[#Headers])))), 0, 1)</f>
        <v>0</v>
      </c>
      <c r="J162" cm="1">
        <f t="array" ref="J162">IF(ISERR(FIND("QUANTIDADE_VAZIA", INDEX(tbl_vendas564[Tipo_Erro], ROW()-ROW(tbl_vendas564[#Headers])))), 0, 1)</f>
        <v>0</v>
      </c>
      <c r="K162" cm="1">
        <f t="array" ref="K162">IF(ISERR(FIND("CIDADE_VAZIA", INDEX(tbl_vendas564[Tipo_Erro], ROW()-ROW(tbl_vendas564[#Headers])))), 0, 1)</f>
        <v>0</v>
      </c>
      <c r="L162" s="1" t="s">
        <v>76</v>
      </c>
      <c r="M162" t="s">
        <v>8</v>
      </c>
      <c r="N162" t="s">
        <v>23</v>
      </c>
      <c r="O162">
        <v>11</v>
      </c>
      <c r="P162" s="2">
        <v>-10</v>
      </c>
      <c r="Q162" s="3" t="str">
        <f t="shared" si="17"/>
        <v/>
      </c>
      <c r="R162" t="s">
        <v>17</v>
      </c>
    </row>
    <row r="163" spans="1:18" x14ac:dyDescent="0.25">
      <c r="A163">
        <f t="shared" si="18"/>
        <v>161</v>
      </c>
      <c r="B163">
        <v>163</v>
      </c>
      <c r="C163" t="str">
        <f t="shared" si="19"/>
        <v>INCOMPLETA</v>
      </c>
      <c r="D163" t="str">
        <f t="shared" si="20"/>
        <v>ERRO</v>
      </c>
      <c r="E163" t="str">
        <f t="shared" si="16"/>
        <v>QUANTIDADE_VAZIA; PRECO_VAZIA; CLIENTE_VAZIA</v>
      </c>
      <c r="F163" cm="1">
        <f t="array" ref="F163">IF(ISERR(FIND("PRECO_VAZIA", INDEX(tbl_vendas564[Tipo_Erro], ROW()-ROW(tbl_vendas564[#Headers])))), 0, 1)</f>
        <v>1</v>
      </c>
      <c r="G163" cm="1">
        <f t="array" ref="G163">IF(ISERR(FIND("PRODUTO_VAZIA", INDEX(tbl_vendas564[Tipo_Erro], ROW()-ROW(tbl_vendas564[#Headers])))), 0, 1)</f>
        <v>0</v>
      </c>
      <c r="H163" cm="1">
        <f t="array" ref="H163">IF(ISERR(FIND("CLIENTE_VAZIA", INDEX(tbl_vendas564[Tipo_Erro], ROW()-ROW(tbl_vendas564[#Headers])))), 0, 1)</f>
        <v>1</v>
      </c>
      <c r="I163" cm="1">
        <f t="array" ref="I163">IF(ISERR(FIND("QUANTIDADE_NEGATIVA", INDEX(tbl_vendas564[Tipo_Erro], ROW()-ROW(tbl_vendas564[#Headers])))), 0, 1)</f>
        <v>0</v>
      </c>
      <c r="J163" cm="1">
        <f t="array" ref="J163">IF(ISERR(FIND("QUANTIDADE_VAZIA", INDEX(tbl_vendas564[Tipo_Erro], ROW()-ROW(tbl_vendas564[#Headers])))), 0, 1)</f>
        <v>1</v>
      </c>
      <c r="K163" cm="1">
        <f t="array" ref="K163">IF(ISERR(FIND("CIDADE_VAZIA", INDEX(tbl_vendas564[Tipo_Erro], ROW()-ROW(tbl_vendas564[#Headers])))), 0, 1)</f>
        <v>0</v>
      </c>
      <c r="L163" s="1" t="s">
        <v>142</v>
      </c>
      <c r="N163" t="s">
        <v>15</v>
      </c>
      <c r="O163">
        <v>11</v>
      </c>
      <c r="P163" s="2"/>
      <c r="Q163" s="3" t="str">
        <f t="shared" si="17"/>
        <v/>
      </c>
      <c r="R163" t="s">
        <v>17</v>
      </c>
    </row>
    <row r="164" spans="1:18" x14ac:dyDescent="0.25">
      <c r="A164">
        <f t="shared" si="18"/>
        <v>162</v>
      </c>
      <c r="B164">
        <v>164</v>
      </c>
      <c r="C164" t="str">
        <f t="shared" si="19"/>
        <v>INCOMPLETA</v>
      </c>
      <c r="D164" t="str">
        <f t="shared" si="20"/>
        <v>ERRO</v>
      </c>
      <c r="E164" t="str">
        <f t="shared" si="16"/>
        <v>PRECO_VAZIA; CIDADE_VAZIA</v>
      </c>
      <c r="F164" cm="1">
        <f t="array" ref="F164">IF(ISERR(FIND("PRECO_VAZIA", INDEX(tbl_vendas564[Tipo_Erro], ROW()-ROW(tbl_vendas564[#Headers])))), 0, 1)</f>
        <v>1</v>
      </c>
      <c r="G164" cm="1">
        <f t="array" ref="G164">IF(ISERR(FIND("PRODUTO_VAZIA", INDEX(tbl_vendas564[Tipo_Erro], ROW()-ROW(tbl_vendas564[#Headers])))), 0, 1)</f>
        <v>0</v>
      </c>
      <c r="H164" cm="1">
        <f t="array" ref="H164">IF(ISERR(FIND("CLIENTE_VAZIA", INDEX(tbl_vendas564[Tipo_Erro], ROW()-ROW(tbl_vendas564[#Headers])))), 0, 1)</f>
        <v>0</v>
      </c>
      <c r="I164" cm="1">
        <f t="array" ref="I164">IF(ISERR(FIND("QUANTIDADE_NEGATIVA", INDEX(tbl_vendas564[Tipo_Erro], ROW()-ROW(tbl_vendas564[#Headers])))), 0, 1)</f>
        <v>0</v>
      </c>
      <c r="J164" cm="1">
        <f t="array" ref="J164">IF(ISERR(FIND("QUANTIDADE_VAZIA", INDEX(tbl_vendas564[Tipo_Erro], ROW()-ROW(tbl_vendas564[#Headers])))), 0, 1)</f>
        <v>0</v>
      </c>
      <c r="K164" cm="1">
        <f t="array" ref="K164">IF(ISERR(FIND("CIDADE_VAZIA", INDEX(tbl_vendas564[Tipo_Erro], ROW()-ROW(tbl_vendas564[#Headers])))), 0, 1)</f>
        <v>1</v>
      </c>
      <c r="L164" s="1" t="s">
        <v>143</v>
      </c>
      <c r="M164" t="s">
        <v>33</v>
      </c>
      <c r="N164" t="s">
        <v>15</v>
      </c>
      <c r="O164">
        <v>20</v>
      </c>
      <c r="P164" s="2">
        <v>-10</v>
      </c>
      <c r="Q164" s="3" t="str">
        <f t="shared" si="17"/>
        <v/>
      </c>
    </row>
    <row r="165" spans="1:18" x14ac:dyDescent="0.25">
      <c r="A165">
        <f t="shared" si="18"/>
        <v>163</v>
      </c>
      <c r="B165">
        <v>165</v>
      </c>
      <c r="C165" t="str">
        <f t="shared" si="19"/>
        <v>INCOMPLETA</v>
      </c>
      <c r="D165" t="str">
        <f t="shared" si="20"/>
        <v>ERRO</v>
      </c>
      <c r="E165" t="str">
        <f t="shared" si="16"/>
        <v>QUANTIDADE_VAZIA; CLIENTE_VAZIA</v>
      </c>
      <c r="F165" cm="1">
        <f t="array" ref="F165">IF(ISERR(FIND("PRECO_VAZIA", INDEX(tbl_vendas564[Tipo_Erro], ROW()-ROW(tbl_vendas564[#Headers])))), 0, 1)</f>
        <v>0</v>
      </c>
      <c r="G165" cm="1">
        <f t="array" ref="G165">IF(ISERR(FIND("PRODUTO_VAZIA", INDEX(tbl_vendas564[Tipo_Erro], ROW()-ROW(tbl_vendas564[#Headers])))), 0, 1)</f>
        <v>0</v>
      </c>
      <c r="H165" cm="1">
        <f t="array" ref="H165">IF(ISERR(FIND("CLIENTE_VAZIA", INDEX(tbl_vendas564[Tipo_Erro], ROW()-ROW(tbl_vendas564[#Headers])))), 0, 1)</f>
        <v>1</v>
      </c>
      <c r="I165" cm="1">
        <f t="array" ref="I165">IF(ISERR(FIND("QUANTIDADE_NEGATIVA", INDEX(tbl_vendas564[Tipo_Erro], ROW()-ROW(tbl_vendas564[#Headers])))), 0, 1)</f>
        <v>0</v>
      </c>
      <c r="J165" cm="1">
        <f t="array" ref="J165">IF(ISERR(FIND("QUANTIDADE_VAZIA", INDEX(tbl_vendas564[Tipo_Erro], ROW()-ROW(tbl_vendas564[#Headers])))), 0, 1)</f>
        <v>1</v>
      </c>
      <c r="K165" cm="1">
        <f t="array" ref="K165">IF(ISERR(FIND("CIDADE_VAZIA", INDEX(tbl_vendas564[Tipo_Erro], ROW()-ROW(tbl_vendas564[#Headers])))), 0, 1)</f>
        <v>0</v>
      </c>
      <c r="L165" s="1" t="s">
        <v>127</v>
      </c>
      <c r="N165" t="s">
        <v>23</v>
      </c>
      <c r="O165">
        <v>10</v>
      </c>
      <c r="P165" s="2" t="s">
        <v>35</v>
      </c>
      <c r="Q165" s="3" t="str">
        <f t="shared" si="17"/>
        <v>R$ 30</v>
      </c>
      <c r="R165" t="s">
        <v>13</v>
      </c>
    </row>
    <row r="166" spans="1:18" x14ac:dyDescent="0.25">
      <c r="A166">
        <f t="shared" si="18"/>
        <v>164</v>
      </c>
      <c r="B166">
        <v>165</v>
      </c>
      <c r="C166" t="str">
        <f t="shared" si="19"/>
        <v>COMPLETA</v>
      </c>
      <c r="D166" t="str">
        <f t="shared" si="20"/>
        <v>ERRO</v>
      </c>
      <c r="E166" t="str">
        <f t="shared" si="16"/>
        <v/>
      </c>
      <c r="F166" cm="1">
        <f t="array" ref="F166">IF(ISERR(FIND("PRECO_VAZIA", INDEX(tbl_vendas564[Tipo_Erro], ROW()-ROW(tbl_vendas564[#Headers])))), 0, 1)</f>
        <v>0</v>
      </c>
      <c r="G166" cm="1">
        <f t="array" ref="G166">IF(ISERR(FIND("PRODUTO_VAZIA", INDEX(tbl_vendas564[Tipo_Erro], ROW()-ROW(tbl_vendas564[#Headers])))), 0, 1)</f>
        <v>0</v>
      </c>
      <c r="H166" cm="1">
        <f t="array" ref="H166">IF(ISERR(FIND("CLIENTE_VAZIA", INDEX(tbl_vendas564[Tipo_Erro], ROW()-ROW(tbl_vendas564[#Headers])))), 0, 1)</f>
        <v>0</v>
      </c>
      <c r="I166" cm="1">
        <f t="array" ref="I166">IF(ISERR(FIND("QUANTIDADE_NEGATIVA", INDEX(tbl_vendas564[Tipo_Erro], ROW()-ROW(tbl_vendas564[#Headers])))), 0, 1)</f>
        <v>0</v>
      </c>
      <c r="J166" cm="1">
        <f t="array" ref="J166">IF(ISERR(FIND("QUANTIDADE_VAZIA", INDEX(tbl_vendas564[Tipo_Erro], ROW()-ROW(tbl_vendas564[#Headers])))), 0, 1)</f>
        <v>0</v>
      </c>
      <c r="K166" cm="1">
        <f t="array" ref="K166">IF(ISERR(FIND("CIDADE_VAZIA", INDEX(tbl_vendas564[Tipo_Erro], ROW()-ROW(tbl_vendas564[#Headers])))), 0, 1)</f>
        <v>0</v>
      </c>
      <c r="L166" s="1" t="s">
        <v>148</v>
      </c>
      <c r="M166" t="s">
        <v>8</v>
      </c>
      <c r="N166" t="s">
        <v>19</v>
      </c>
      <c r="O166">
        <v>10</v>
      </c>
      <c r="P166" s="2" t="s">
        <v>35</v>
      </c>
      <c r="Q166" s="3" t="str">
        <f t="shared" si="17"/>
        <v>R$ 30</v>
      </c>
      <c r="R166" t="s">
        <v>49</v>
      </c>
    </row>
    <row r="167" spans="1:18" x14ac:dyDescent="0.25">
      <c r="A167">
        <f t="shared" si="18"/>
        <v>165</v>
      </c>
      <c r="B167">
        <v>166</v>
      </c>
      <c r="C167" t="str">
        <f t="shared" si="19"/>
        <v>INCOMPLETA</v>
      </c>
      <c r="D167" t="str">
        <f t="shared" si="20"/>
        <v>ERRO</v>
      </c>
      <c r="E167" t="str">
        <f t="shared" si="16"/>
        <v/>
      </c>
      <c r="F167" cm="1">
        <f t="array" ref="F167">IF(ISERR(FIND("PRECO_VAZIA", INDEX(tbl_vendas564[Tipo_Erro], ROW()-ROW(tbl_vendas564[#Headers])))), 0, 1)</f>
        <v>0</v>
      </c>
      <c r="G167" cm="1">
        <f t="array" ref="G167">IF(ISERR(FIND("PRODUTO_VAZIA", INDEX(tbl_vendas564[Tipo_Erro], ROW()-ROW(tbl_vendas564[#Headers])))), 0, 1)</f>
        <v>0</v>
      </c>
      <c r="H167" cm="1">
        <f t="array" ref="H167">IF(ISERR(FIND("CLIENTE_VAZIA", INDEX(tbl_vendas564[Tipo_Erro], ROW()-ROW(tbl_vendas564[#Headers])))), 0, 1)</f>
        <v>0</v>
      </c>
      <c r="I167" cm="1">
        <f t="array" ref="I167">IF(ISERR(FIND("QUANTIDADE_NEGATIVA", INDEX(tbl_vendas564[Tipo_Erro], ROW()-ROW(tbl_vendas564[#Headers])))), 0, 1)</f>
        <v>0</v>
      </c>
      <c r="J167" cm="1">
        <f t="array" ref="J167">IF(ISERR(FIND("QUANTIDADE_VAZIA", INDEX(tbl_vendas564[Tipo_Erro], ROW()-ROW(tbl_vendas564[#Headers])))), 0, 1)</f>
        <v>0</v>
      </c>
      <c r="K167" cm="1">
        <f t="array" ref="K167">IF(ISERR(FIND("CIDADE_VAZIA", INDEX(tbl_vendas564[Tipo_Erro], ROW()-ROW(tbl_vendas564[#Headers])))), 0, 1)</f>
        <v>0</v>
      </c>
      <c r="L167" s="1" t="s">
        <v>140</v>
      </c>
      <c r="M167" t="s">
        <v>33</v>
      </c>
      <c r="N167" t="s">
        <v>9</v>
      </c>
      <c r="P167" s="2" t="s">
        <v>35</v>
      </c>
      <c r="Q167" s="3" t="str">
        <f t="shared" si="17"/>
        <v>R$ 30</v>
      </c>
      <c r="R167" t="s">
        <v>21</v>
      </c>
    </row>
    <row r="168" spans="1:18" x14ac:dyDescent="0.25">
      <c r="A168">
        <f t="shared" si="18"/>
        <v>166</v>
      </c>
      <c r="B168">
        <v>166</v>
      </c>
      <c r="C168" t="str">
        <f t="shared" si="19"/>
        <v>INCOMPLETA</v>
      </c>
      <c r="D168" t="str">
        <f t="shared" si="20"/>
        <v>ERRO</v>
      </c>
      <c r="E168" t="str">
        <f t="shared" si="16"/>
        <v>QUANTIDADE_VAZIA; PRECO_VAZIA; CLIENTE_VAZIA</v>
      </c>
      <c r="F168" cm="1">
        <f t="array" ref="F168">IF(ISERR(FIND("PRECO_VAZIA", INDEX(tbl_vendas564[Tipo_Erro], ROW()-ROW(tbl_vendas564[#Headers])))), 0, 1)</f>
        <v>1</v>
      </c>
      <c r="G168" cm="1">
        <f t="array" ref="G168">IF(ISERR(FIND("PRODUTO_VAZIA", INDEX(tbl_vendas564[Tipo_Erro], ROW()-ROW(tbl_vendas564[#Headers])))), 0, 1)</f>
        <v>0</v>
      </c>
      <c r="H168" cm="1">
        <f t="array" ref="H168">IF(ISERR(FIND("CLIENTE_VAZIA", INDEX(tbl_vendas564[Tipo_Erro], ROW()-ROW(tbl_vendas564[#Headers])))), 0, 1)</f>
        <v>1</v>
      </c>
      <c r="I168" cm="1">
        <f t="array" ref="I168">IF(ISERR(FIND("QUANTIDADE_NEGATIVA", INDEX(tbl_vendas564[Tipo_Erro], ROW()-ROW(tbl_vendas564[#Headers])))), 0, 1)</f>
        <v>0</v>
      </c>
      <c r="J168" cm="1">
        <f t="array" ref="J168">IF(ISERR(FIND("QUANTIDADE_VAZIA", INDEX(tbl_vendas564[Tipo_Erro], ROW()-ROW(tbl_vendas564[#Headers])))), 0, 1)</f>
        <v>1</v>
      </c>
      <c r="K168" cm="1">
        <f t="array" ref="K168">IF(ISERR(FIND("CIDADE_VAZIA", INDEX(tbl_vendas564[Tipo_Erro], ROW()-ROW(tbl_vendas564[#Headers])))), 0, 1)</f>
        <v>0</v>
      </c>
      <c r="L168" s="1" t="s">
        <v>118</v>
      </c>
      <c r="N168" t="s">
        <v>37</v>
      </c>
      <c r="P168" s="2"/>
      <c r="Q168" s="3" t="str">
        <f t="shared" si="17"/>
        <v/>
      </c>
      <c r="R168" t="s">
        <v>13</v>
      </c>
    </row>
    <row r="169" spans="1:18" x14ac:dyDescent="0.25">
      <c r="A169">
        <f t="shared" si="18"/>
        <v>167</v>
      </c>
      <c r="B169">
        <v>168</v>
      </c>
      <c r="C169" t="str">
        <f t="shared" si="19"/>
        <v>INCOMPLETA</v>
      </c>
      <c r="D169" t="str">
        <f t="shared" si="20"/>
        <v>ERRO</v>
      </c>
      <c r="E169" t="str">
        <f t="shared" si="16"/>
        <v>QUANTIDADE_VAZIA; PRECO_VAZIA; CLIENTE_VAZIA</v>
      </c>
      <c r="F169" cm="1">
        <f t="array" ref="F169">IF(ISERR(FIND("PRECO_VAZIA", INDEX(tbl_vendas564[Tipo_Erro], ROW()-ROW(tbl_vendas564[#Headers])))), 0, 1)</f>
        <v>1</v>
      </c>
      <c r="G169" cm="1">
        <f t="array" ref="G169">IF(ISERR(FIND("PRODUTO_VAZIA", INDEX(tbl_vendas564[Tipo_Erro], ROW()-ROW(tbl_vendas564[#Headers])))), 0, 1)</f>
        <v>0</v>
      </c>
      <c r="H169" cm="1">
        <f t="array" ref="H169">IF(ISERR(FIND("CLIENTE_VAZIA", INDEX(tbl_vendas564[Tipo_Erro], ROW()-ROW(tbl_vendas564[#Headers])))), 0, 1)</f>
        <v>1</v>
      </c>
      <c r="I169" cm="1">
        <f t="array" ref="I169">IF(ISERR(FIND("QUANTIDADE_NEGATIVA", INDEX(tbl_vendas564[Tipo_Erro], ROW()-ROW(tbl_vendas564[#Headers])))), 0, 1)</f>
        <v>0</v>
      </c>
      <c r="J169" cm="1">
        <f t="array" ref="J169">IF(ISERR(FIND("QUANTIDADE_VAZIA", INDEX(tbl_vendas564[Tipo_Erro], ROW()-ROW(tbl_vendas564[#Headers])))), 0, 1)</f>
        <v>1</v>
      </c>
      <c r="K169" cm="1">
        <f t="array" ref="K169">IF(ISERR(FIND("CIDADE_VAZIA", INDEX(tbl_vendas564[Tipo_Erro], ROW()-ROW(tbl_vendas564[#Headers])))), 0, 1)</f>
        <v>0</v>
      </c>
      <c r="L169" s="1" t="s">
        <v>103</v>
      </c>
      <c r="N169" t="s">
        <v>15</v>
      </c>
      <c r="O169">
        <v>15</v>
      </c>
      <c r="P169" s="2"/>
      <c r="Q169" s="3" t="str">
        <f t="shared" si="17"/>
        <v/>
      </c>
      <c r="R169" t="s">
        <v>49</v>
      </c>
    </row>
    <row r="170" spans="1:18" x14ac:dyDescent="0.25">
      <c r="A170">
        <f t="shared" si="18"/>
        <v>168</v>
      </c>
      <c r="B170">
        <v>169</v>
      </c>
      <c r="C170" t="str">
        <f t="shared" si="19"/>
        <v>INCOMPLETA</v>
      </c>
      <c r="D170" t="str">
        <f t="shared" si="20"/>
        <v>ERRO</v>
      </c>
      <c r="E170" t="str">
        <f t="shared" si="16"/>
        <v>PRECO_VAZIA</v>
      </c>
      <c r="F170" cm="1">
        <f t="array" ref="F170">IF(ISERR(FIND("PRECO_VAZIA", INDEX(tbl_vendas564[Tipo_Erro], ROW()-ROW(tbl_vendas564[#Headers])))), 0, 1)</f>
        <v>1</v>
      </c>
      <c r="G170" cm="1">
        <f t="array" ref="G170">IF(ISERR(FIND("PRODUTO_VAZIA", INDEX(tbl_vendas564[Tipo_Erro], ROW()-ROW(tbl_vendas564[#Headers])))), 0, 1)</f>
        <v>0</v>
      </c>
      <c r="H170" cm="1">
        <f t="array" ref="H170">IF(ISERR(FIND("CLIENTE_VAZIA", INDEX(tbl_vendas564[Tipo_Erro], ROW()-ROW(tbl_vendas564[#Headers])))), 0, 1)</f>
        <v>0</v>
      </c>
      <c r="I170" cm="1">
        <f t="array" ref="I170">IF(ISERR(FIND("QUANTIDADE_NEGATIVA", INDEX(tbl_vendas564[Tipo_Erro], ROW()-ROW(tbl_vendas564[#Headers])))), 0, 1)</f>
        <v>0</v>
      </c>
      <c r="J170" cm="1">
        <f t="array" ref="J170">IF(ISERR(FIND("QUANTIDADE_VAZIA", INDEX(tbl_vendas564[Tipo_Erro], ROW()-ROW(tbl_vendas564[#Headers])))), 0, 1)</f>
        <v>0</v>
      </c>
      <c r="K170" cm="1">
        <f t="array" ref="K170">IF(ISERR(FIND("CIDADE_VAZIA", INDEX(tbl_vendas564[Tipo_Erro], ROW()-ROW(tbl_vendas564[#Headers])))), 0, 1)</f>
        <v>0</v>
      </c>
      <c r="L170" s="1" t="s">
        <v>77</v>
      </c>
      <c r="M170" t="s">
        <v>33</v>
      </c>
      <c r="N170" t="s">
        <v>9</v>
      </c>
      <c r="P170" s="2">
        <v>-10</v>
      </c>
      <c r="Q170" s="3" t="str">
        <f t="shared" si="17"/>
        <v/>
      </c>
      <c r="R170" t="s">
        <v>13</v>
      </c>
    </row>
    <row r="171" spans="1:18" x14ac:dyDescent="0.25">
      <c r="A171">
        <f t="shared" si="18"/>
        <v>169</v>
      </c>
      <c r="B171">
        <v>170</v>
      </c>
      <c r="C171" t="str">
        <f t="shared" si="19"/>
        <v>INCOMPLETA</v>
      </c>
      <c r="D171" t="str">
        <f t="shared" si="20"/>
        <v>ERRO</v>
      </c>
      <c r="E171" t="str">
        <f t="shared" si="16"/>
        <v>QUANTIDADE_NEGATIVA; PRECO_VAZIA</v>
      </c>
      <c r="F171" cm="1">
        <f t="array" ref="F171">IF(ISERR(FIND("PRECO_VAZIA", INDEX(tbl_vendas564[Tipo_Erro], ROW()-ROW(tbl_vendas564[#Headers])))), 0, 1)</f>
        <v>1</v>
      </c>
      <c r="G171" cm="1">
        <f t="array" ref="G171">IF(ISERR(FIND("PRODUTO_VAZIA", INDEX(tbl_vendas564[Tipo_Erro], ROW()-ROW(tbl_vendas564[#Headers])))), 0, 1)</f>
        <v>0</v>
      </c>
      <c r="H171" cm="1">
        <f t="array" ref="H171">IF(ISERR(FIND("CLIENTE_VAZIA", INDEX(tbl_vendas564[Tipo_Erro], ROW()-ROW(tbl_vendas564[#Headers])))), 0, 1)</f>
        <v>0</v>
      </c>
      <c r="I171" cm="1">
        <f t="array" ref="I171">IF(ISERR(FIND("QUANTIDADE_NEGATIVA", INDEX(tbl_vendas564[Tipo_Erro], ROW()-ROW(tbl_vendas564[#Headers])))), 0, 1)</f>
        <v>1</v>
      </c>
      <c r="J171" cm="1">
        <f t="array" ref="J171">IF(ISERR(FIND("QUANTIDADE_VAZIA", INDEX(tbl_vendas564[Tipo_Erro], ROW()-ROW(tbl_vendas564[#Headers])))), 0, 1)</f>
        <v>0</v>
      </c>
      <c r="K171" cm="1">
        <f t="array" ref="K171">IF(ISERR(FIND("CIDADE_VAZIA", INDEX(tbl_vendas564[Tipo_Erro], ROW()-ROW(tbl_vendas564[#Headers])))), 0, 1)</f>
        <v>0</v>
      </c>
      <c r="L171" s="1" t="s">
        <v>45</v>
      </c>
      <c r="M171" t="s">
        <v>33</v>
      </c>
      <c r="N171" t="s">
        <v>31</v>
      </c>
      <c r="O171">
        <v>-3</v>
      </c>
      <c r="P171" s="2">
        <v>-10</v>
      </c>
      <c r="Q171" s="3" t="str">
        <f t="shared" si="17"/>
        <v/>
      </c>
      <c r="R171" t="s">
        <v>13</v>
      </c>
    </row>
    <row r="172" spans="1:18" x14ac:dyDescent="0.25">
      <c r="A172">
        <f t="shared" si="18"/>
        <v>170</v>
      </c>
      <c r="B172">
        <v>171</v>
      </c>
      <c r="C172" t="str">
        <f t="shared" si="19"/>
        <v>INCOMPLETA</v>
      </c>
      <c r="D172" t="str">
        <f t="shared" si="20"/>
        <v>ERRO</v>
      </c>
      <c r="E172" t="str">
        <f t="shared" si="16"/>
        <v>QUANTIDADE_NEGATIVA; CIDADE_VAZIA</v>
      </c>
      <c r="F172" cm="1">
        <f t="array" ref="F172">IF(ISERR(FIND("PRECO_VAZIA", INDEX(tbl_vendas564[Tipo_Erro], ROW()-ROW(tbl_vendas564[#Headers])))), 0, 1)</f>
        <v>0</v>
      </c>
      <c r="G172" cm="1">
        <f t="array" ref="G172">IF(ISERR(FIND("PRODUTO_VAZIA", INDEX(tbl_vendas564[Tipo_Erro], ROW()-ROW(tbl_vendas564[#Headers])))), 0, 1)</f>
        <v>0</v>
      </c>
      <c r="H172" cm="1">
        <f t="array" ref="H172">IF(ISERR(FIND("CLIENTE_VAZIA", INDEX(tbl_vendas564[Tipo_Erro], ROW()-ROW(tbl_vendas564[#Headers])))), 0, 1)</f>
        <v>0</v>
      </c>
      <c r="I172" cm="1">
        <f t="array" ref="I172">IF(ISERR(FIND("QUANTIDADE_NEGATIVA", INDEX(tbl_vendas564[Tipo_Erro], ROW()-ROW(tbl_vendas564[#Headers])))), 0, 1)</f>
        <v>1</v>
      </c>
      <c r="J172" cm="1">
        <f t="array" ref="J172">IF(ISERR(FIND("QUANTIDADE_VAZIA", INDEX(tbl_vendas564[Tipo_Erro], ROW()-ROW(tbl_vendas564[#Headers])))), 0, 1)</f>
        <v>0</v>
      </c>
      <c r="K172" cm="1">
        <f t="array" ref="K172">IF(ISERR(FIND("CIDADE_VAZIA", INDEX(tbl_vendas564[Tipo_Erro], ROW()-ROW(tbl_vendas564[#Headers])))), 0, 1)</f>
        <v>1</v>
      </c>
      <c r="L172" s="1" t="s">
        <v>100</v>
      </c>
      <c r="M172" t="s">
        <v>26</v>
      </c>
      <c r="N172" t="s">
        <v>53</v>
      </c>
      <c r="O172">
        <v>-3</v>
      </c>
      <c r="P172" s="2">
        <v>438.32</v>
      </c>
      <c r="Q172" s="3">
        <f t="shared" si="17"/>
        <v>438.32</v>
      </c>
    </row>
    <row r="173" spans="1:18" x14ac:dyDescent="0.25">
      <c r="A173">
        <f t="shared" si="18"/>
        <v>171</v>
      </c>
      <c r="B173">
        <v>172</v>
      </c>
      <c r="C173" t="str">
        <f t="shared" si="19"/>
        <v>INCOMPLETA</v>
      </c>
      <c r="D173" t="str">
        <f t="shared" si="20"/>
        <v>ERRO</v>
      </c>
      <c r="E173" t="str">
        <f t="shared" si="16"/>
        <v>PRECO_VAZIA</v>
      </c>
      <c r="F173" cm="1">
        <f t="array" ref="F173">IF(ISERR(FIND("PRECO_VAZIA", INDEX(tbl_vendas564[Tipo_Erro], ROW()-ROW(tbl_vendas564[#Headers])))), 0, 1)</f>
        <v>1</v>
      </c>
      <c r="G173" cm="1">
        <f t="array" ref="G173">IF(ISERR(FIND("PRODUTO_VAZIA", INDEX(tbl_vendas564[Tipo_Erro], ROW()-ROW(tbl_vendas564[#Headers])))), 0, 1)</f>
        <v>0</v>
      </c>
      <c r="H173" cm="1">
        <f t="array" ref="H173">IF(ISERR(FIND("CLIENTE_VAZIA", INDEX(tbl_vendas564[Tipo_Erro], ROW()-ROW(tbl_vendas564[#Headers])))), 0, 1)</f>
        <v>0</v>
      </c>
      <c r="I173" cm="1">
        <f t="array" ref="I173">IF(ISERR(FIND("QUANTIDADE_NEGATIVA", INDEX(tbl_vendas564[Tipo_Erro], ROW()-ROW(tbl_vendas564[#Headers])))), 0, 1)</f>
        <v>0</v>
      </c>
      <c r="J173" cm="1">
        <f t="array" ref="J173">IF(ISERR(FIND("QUANTIDADE_VAZIA", INDEX(tbl_vendas564[Tipo_Erro], ROW()-ROW(tbl_vendas564[#Headers])))), 0, 1)</f>
        <v>0</v>
      </c>
      <c r="K173" cm="1">
        <f t="array" ref="K173">IF(ISERR(FIND("CIDADE_VAZIA", INDEX(tbl_vendas564[Tipo_Erro], ROW()-ROW(tbl_vendas564[#Headers])))), 0, 1)</f>
        <v>0</v>
      </c>
      <c r="L173" s="1" t="s">
        <v>71</v>
      </c>
      <c r="M173" t="s">
        <v>8</v>
      </c>
      <c r="N173" t="s">
        <v>23</v>
      </c>
      <c r="O173">
        <v>10</v>
      </c>
      <c r="P173" s="2"/>
      <c r="Q173" s="3" t="str">
        <f t="shared" si="17"/>
        <v/>
      </c>
      <c r="R173" t="s">
        <v>49</v>
      </c>
    </row>
    <row r="174" spans="1:18" x14ac:dyDescent="0.25">
      <c r="A174">
        <f t="shared" si="18"/>
        <v>172</v>
      </c>
      <c r="B174">
        <v>174</v>
      </c>
      <c r="C174" t="str">
        <f t="shared" si="19"/>
        <v>COMPLETA</v>
      </c>
      <c r="D174" t="str">
        <f t="shared" si="20"/>
        <v>ERRO</v>
      </c>
      <c r="E174" t="str">
        <f t="shared" si="16"/>
        <v/>
      </c>
      <c r="F174" cm="1">
        <f t="array" ref="F174">IF(ISERR(FIND("PRECO_VAZIA", INDEX(tbl_vendas564[Tipo_Erro], ROW()-ROW(tbl_vendas564[#Headers])))), 0, 1)</f>
        <v>0</v>
      </c>
      <c r="G174" cm="1">
        <f t="array" ref="G174">IF(ISERR(FIND("PRODUTO_VAZIA", INDEX(tbl_vendas564[Tipo_Erro], ROW()-ROW(tbl_vendas564[#Headers])))), 0, 1)</f>
        <v>0</v>
      </c>
      <c r="H174" cm="1">
        <f t="array" ref="H174">IF(ISERR(FIND("CLIENTE_VAZIA", INDEX(tbl_vendas564[Tipo_Erro], ROW()-ROW(tbl_vendas564[#Headers])))), 0, 1)</f>
        <v>0</v>
      </c>
      <c r="I174" cm="1">
        <f t="array" ref="I174">IF(ISERR(FIND("QUANTIDADE_NEGATIVA", INDEX(tbl_vendas564[Tipo_Erro], ROW()-ROW(tbl_vendas564[#Headers])))), 0, 1)</f>
        <v>0</v>
      </c>
      <c r="J174" cm="1">
        <f t="array" ref="J174">IF(ISERR(FIND("QUANTIDADE_VAZIA", INDEX(tbl_vendas564[Tipo_Erro], ROW()-ROW(tbl_vendas564[#Headers])))), 0, 1)</f>
        <v>0</v>
      </c>
      <c r="K174" cm="1">
        <f t="array" ref="K174">IF(ISERR(FIND("CIDADE_VAZIA", INDEX(tbl_vendas564[Tipo_Erro], ROW()-ROW(tbl_vendas564[#Headers])))), 0, 1)</f>
        <v>0</v>
      </c>
      <c r="L174" s="1" t="s">
        <v>144</v>
      </c>
      <c r="M174" t="s">
        <v>8</v>
      </c>
      <c r="N174" t="s">
        <v>9</v>
      </c>
      <c r="O174">
        <v>10</v>
      </c>
      <c r="P174" s="2" t="s">
        <v>35</v>
      </c>
      <c r="Q174" s="3" t="str">
        <f t="shared" si="17"/>
        <v>R$ 30</v>
      </c>
      <c r="R174" t="s">
        <v>13</v>
      </c>
    </row>
    <row r="175" spans="1:18" x14ac:dyDescent="0.25">
      <c r="A175">
        <f t="shared" si="18"/>
        <v>173</v>
      </c>
      <c r="B175">
        <v>175</v>
      </c>
      <c r="C175" t="str">
        <f t="shared" si="19"/>
        <v>INCOMPLETA</v>
      </c>
      <c r="D175" t="str">
        <f t="shared" si="20"/>
        <v>ERRO</v>
      </c>
      <c r="E175" t="str">
        <f t="shared" si="16"/>
        <v/>
      </c>
      <c r="F175" cm="1">
        <f t="array" ref="F175">IF(ISERR(FIND("PRECO_VAZIA", INDEX(tbl_vendas564[Tipo_Erro], ROW()-ROW(tbl_vendas564[#Headers])))), 0, 1)</f>
        <v>0</v>
      </c>
      <c r="G175" cm="1">
        <f t="array" ref="G175">IF(ISERR(FIND("PRODUTO_VAZIA", INDEX(tbl_vendas564[Tipo_Erro], ROW()-ROW(tbl_vendas564[#Headers])))), 0, 1)</f>
        <v>0</v>
      </c>
      <c r="H175" cm="1">
        <f t="array" ref="H175">IF(ISERR(FIND("CLIENTE_VAZIA", INDEX(tbl_vendas564[Tipo_Erro], ROW()-ROW(tbl_vendas564[#Headers])))), 0, 1)</f>
        <v>0</v>
      </c>
      <c r="I175" cm="1">
        <f t="array" ref="I175">IF(ISERR(FIND("QUANTIDADE_NEGATIVA", INDEX(tbl_vendas564[Tipo_Erro], ROW()-ROW(tbl_vendas564[#Headers])))), 0, 1)</f>
        <v>0</v>
      </c>
      <c r="J175" cm="1">
        <f t="array" ref="J175">IF(ISERR(FIND("QUANTIDADE_VAZIA", INDEX(tbl_vendas564[Tipo_Erro], ROW()-ROW(tbl_vendas564[#Headers])))), 0, 1)</f>
        <v>0</v>
      </c>
      <c r="K175" cm="1">
        <f t="array" ref="K175">IF(ISERR(FIND("CIDADE_VAZIA", INDEX(tbl_vendas564[Tipo_Erro], ROW()-ROW(tbl_vendas564[#Headers])))), 0, 1)</f>
        <v>0</v>
      </c>
      <c r="L175" s="1" t="s">
        <v>115</v>
      </c>
      <c r="M175" t="s">
        <v>12</v>
      </c>
      <c r="N175" t="s">
        <v>31</v>
      </c>
      <c r="P175" s="2" t="s">
        <v>35</v>
      </c>
      <c r="Q175" s="3" t="str">
        <f t="shared" si="17"/>
        <v>R$ 30</v>
      </c>
      <c r="R175" t="s">
        <v>13</v>
      </c>
    </row>
    <row r="176" spans="1:18" x14ac:dyDescent="0.25">
      <c r="A176">
        <f t="shared" si="18"/>
        <v>174</v>
      </c>
      <c r="B176">
        <v>175</v>
      </c>
      <c r="C176" t="str">
        <f t="shared" si="19"/>
        <v>INCOMPLETA</v>
      </c>
      <c r="D176" t="str">
        <f t="shared" si="20"/>
        <v>ERRO</v>
      </c>
      <c r="E176" t="str">
        <f t="shared" si="16"/>
        <v>QUANTIDADE_VAZIA; QUANTIDADE_NEGATIVA; CLIENTE_VAZIA</v>
      </c>
      <c r="F176" cm="1">
        <f t="array" ref="F176">IF(ISERR(FIND("PRECO_VAZIA", INDEX(tbl_vendas564[Tipo_Erro], ROW()-ROW(tbl_vendas564[#Headers])))), 0, 1)</f>
        <v>0</v>
      </c>
      <c r="G176" cm="1">
        <f t="array" ref="G176">IF(ISERR(FIND("PRODUTO_VAZIA", INDEX(tbl_vendas564[Tipo_Erro], ROW()-ROW(tbl_vendas564[#Headers])))), 0, 1)</f>
        <v>0</v>
      </c>
      <c r="H176" cm="1">
        <f t="array" ref="H176">IF(ISERR(FIND("CLIENTE_VAZIA", INDEX(tbl_vendas564[Tipo_Erro], ROW()-ROW(tbl_vendas564[#Headers])))), 0, 1)</f>
        <v>1</v>
      </c>
      <c r="I176" cm="1">
        <f t="array" ref="I176">IF(ISERR(FIND("QUANTIDADE_NEGATIVA", INDEX(tbl_vendas564[Tipo_Erro], ROW()-ROW(tbl_vendas564[#Headers])))), 0, 1)</f>
        <v>1</v>
      </c>
      <c r="J176" cm="1">
        <f t="array" ref="J176">IF(ISERR(FIND("QUANTIDADE_VAZIA", INDEX(tbl_vendas564[Tipo_Erro], ROW()-ROW(tbl_vendas564[#Headers])))), 0, 1)</f>
        <v>1</v>
      </c>
      <c r="K176" cm="1">
        <f t="array" ref="K176">IF(ISERR(FIND("CIDADE_VAZIA", INDEX(tbl_vendas564[Tipo_Erro], ROW()-ROW(tbl_vendas564[#Headers])))), 0, 1)</f>
        <v>0</v>
      </c>
      <c r="L176" s="1" t="s">
        <v>123</v>
      </c>
      <c r="N176" t="s">
        <v>19</v>
      </c>
      <c r="O176">
        <v>-3</v>
      </c>
      <c r="P176" s="2">
        <v>145.18</v>
      </c>
      <c r="Q176" s="3">
        <f t="shared" si="17"/>
        <v>145.18</v>
      </c>
      <c r="R176" t="s">
        <v>49</v>
      </c>
    </row>
    <row r="177" spans="1:18" x14ac:dyDescent="0.25">
      <c r="A177">
        <f t="shared" si="18"/>
        <v>175</v>
      </c>
      <c r="B177">
        <v>175</v>
      </c>
      <c r="C177" t="str">
        <f t="shared" si="19"/>
        <v>COMPLETA</v>
      </c>
      <c r="D177" t="str">
        <f t="shared" si="20"/>
        <v>ERRO</v>
      </c>
      <c r="E177" t="str">
        <f t="shared" si="16"/>
        <v>QUANTIDADE_NEGATIVA</v>
      </c>
      <c r="F177" cm="1">
        <f t="array" ref="F177">IF(ISERR(FIND("PRECO_VAZIA", INDEX(tbl_vendas564[Tipo_Erro], ROW()-ROW(tbl_vendas564[#Headers])))), 0, 1)</f>
        <v>0</v>
      </c>
      <c r="G177" cm="1">
        <f t="array" ref="G177">IF(ISERR(FIND("PRODUTO_VAZIA", INDEX(tbl_vendas564[Tipo_Erro], ROW()-ROW(tbl_vendas564[#Headers])))), 0, 1)</f>
        <v>0</v>
      </c>
      <c r="H177" cm="1">
        <f t="array" ref="H177">IF(ISERR(FIND("CLIENTE_VAZIA", INDEX(tbl_vendas564[Tipo_Erro], ROW()-ROW(tbl_vendas564[#Headers])))), 0, 1)</f>
        <v>0</v>
      </c>
      <c r="I177" cm="1">
        <f t="array" ref="I177">IF(ISERR(FIND("QUANTIDADE_NEGATIVA", INDEX(tbl_vendas564[Tipo_Erro], ROW()-ROW(tbl_vendas564[#Headers])))), 0, 1)</f>
        <v>1</v>
      </c>
      <c r="J177" cm="1">
        <f t="array" ref="J177">IF(ISERR(FIND("QUANTIDADE_VAZIA", INDEX(tbl_vendas564[Tipo_Erro], ROW()-ROW(tbl_vendas564[#Headers])))), 0, 1)</f>
        <v>0</v>
      </c>
      <c r="K177" cm="1">
        <f t="array" ref="K177">IF(ISERR(FIND("CIDADE_VAZIA", INDEX(tbl_vendas564[Tipo_Erro], ROW()-ROW(tbl_vendas564[#Headers])))), 0, 1)</f>
        <v>0</v>
      </c>
      <c r="L177" s="1" t="s">
        <v>111</v>
      </c>
      <c r="M177" t="s">
        <v>33</v>
      </c>
      <c r="N177" t="s">
        <v>15</v>
      </c>
      <c r="O177">
        <v>-3</v>
      </c>
      <c r="P177" s="2">
        <v>311.52</v>
      </c>
      <c r="Q177" s="3">
        <f t="shared" si="17"/>
        <v>311.52</v>
      </c>
      <c r="R177" t="s">
        <v>21</v>
      </c>
    </row>
    <row r="178" spans="1:18" x14ac:dyDescent="0.25">
      <c r="A178">
        <f t="shared" si="18"/>
        <v>176</v>
      </c>
      <c r="B178">
        <v>176</v>
      </c>
      <c r="C178" t="str">
        <f t="shared" si="19"/>
        <v>INCOMPLETA</v>
      </c>
      <c r="D178" t="str">
        <f t="shared" si="20"/>
        <v>ERRO</v>
      </c>
      <c r="E178" t="str">
        <f t="shared" si="16"/>
        <v>QUANTIDADE_VAZIA; PRECO_VAZIA; CLIENTE_VAZIA; PRODUTO_VAZIA</v>
      </c>
      <c r="F178" cm="1">
        <f t="array" ref="F178">IF(ISERR(FIND("PRECO_VAZIA", INDEX(tbl_vendas564[Tipo_Erro], ROW()-ROW(tbl_vendas564[#Headers])))), 0, 1)</f>
        <v>1</v>
      </c>
      <c r="G178" cm="1">
        <f t="array" ref="G178">IF(ISERR(FIND("PRODUTO_VAZIA", INDEX(tbl_vendas564[Tipo_Erro], ROW()-ROW(tbl_vendas564[#Headers])))), 0, 1)</f>
        <v>1</v>
      </c>
      <c r="H178" cm="1">
        <f t="array" ref="H178">IF(ISERR(FIND("CLIENTE_VAZIA", INDEX(tbl_vendas564[Tipo_Erro], ROW()-ROW(tbl_vendas564[#Headers])))), 0, 1)</f>
        <v>1</v>
      </c>
      <c r="I178" cm="1">
        <f t="array" ref="I178">IF(ISERR(FIND("QUANTIDADE_NEGATIVA", INDEX(tbl_vendas564[Tipo_Erro], ROW()-ROW(tbl_vendas564[#Headers])))), 0, 1)</f>
        <v>0</v>
      </c>
      <c r="J178" cm="1">
        <f t="array" ref="J178">IF(ISERR(FIND("QUANTIDADE_VAZIA", INDEX(tbl_vendas564[Tipo_Erro], ROW()-ROW(tbl_vendas564[#Headers])))), 0, 1)</f>
        <v>1</v>
      </c>
      <c r="K178" cm="1">
        <f t="array" ref="K178">IF(ISERR(FIND("CIDADE_VAZIA", INDEX(tbl_vendas564[Tipo_Erro], ROW()-ROW(tbl_vendas564[#Headers])))), 0, 1)</f>
        <v>0</v>
      </c>
      <c r="L178" s="1" t="s">
        <v>145</v>
      </c>
      <c r="O178">
        <v>14</v>
      </c>
      <c r="P178" s="2"/>
      <c r="Q178" s="3" t="str">
        <f t="shared" si="17"/>
        <v/>
      </c>
      <c r="R178" t="s">
        <v>17</v>
      </c>
    </row>
    <row r="179" spans="1:18" x14ac:dyDescent="0.25">
      <c r="A179">
        <f t="shared" si="18"/>
        <v>177</v>
      </c>
      <c r="B179">
        <v>177</v>
      </c>
      <c r="C179" t="str">
        <f t="shared" si="19"/>
        <v>INCOMPLETA</v>
      </c>
      <c r="D179" t="str">
        <f t="shared" si="20"/>
        <v>ERRO</v>
      </c>
      <c r="E179" t="str">
        <f t="shared" si="16"/>
        <v>PRECO_VAZIA</v>
      </c>
      <c r="F179" cm="1">
        <f t="array" ref="F179">IF(ISERR(FIND("PRECO_VAZIA", INDEX(tbl_vendas564[Tipo_Erro], ROW()-ROW(tbl_vendas564[#Headers])))), 0, 1)</f>
        <v>1</v>
      </c>
      <c r="G179" cm="1">
        <f t="array" ref="G179">IF(ISERR(FIND("PRODUTO_VAZIA", INDEX(tbl_vendas564[Tipo_Erro], ROW()-ROW(tbl_vendas564[#Headers])))), 0, 1)</f>
        <v>0</v>
      </c>
      <c r="H179" cm="1">
        <f t="array" ref="H179">IF(ISERR(FIND("CLIENTE_VAZIA", INDEX(tbl_vendas564[Tipo_Erro], ROW()-ROW(tbl_vendas564[#Headers])))), 0, 1)</f>
        <v>0</v>
      </c>
      <c r="I179" cm="1">
        <f t="array" ref="I179">IF(ISERR(FIND("QUANTIDADE_NEGATIVA", INDEX(tbl_vendas564[Tipo_Erro], ROW()-ROW(tbl_vendas564[#Headers])))), 0, 1)</f>
        <v>0</v>
      </c>
      <c r="J179" cm="1">
        <f t="array" ref="J179">IF(ISERR(FIND("QUANTIDADE_VAZIA", INDEX(tbl_vendas564[Tipo_Erro], ROW()-ROW(tbl_vendas564[#Headers])))), 0, 1)</f>
        <v>0</v>
      </c>
      <c r="K179" cm="1">
        <f t="array" ref="K179">IF(ISERR(FIND("CIDADE_VAZIA", INDEX(tbl_vendas564[Tipo_Erro], ROW()-ROW(tbl_vendas564[#Headers])))), 0, 1)</f>
        <v>0</v>
      </c>
      <c r="L179" s="1" t="s">
        <v>109</v>
      </c>
      <c r="M179" t="s">
        <v>33</v>
      </c>
      <c r="N179" t="s">
        <v>31</v>
      </c>
      <c r="O179">
        <v>3</v>
      </c>
      <c r="P179" s="2">
        <v>-10</v>
      </c>
      <c r="Q179" s="3" t="str">
        <f t="shared" si="17"/>
        <v/>
      </c>
      <c r="R179" t="s">
        <v>10</v>
      </c>
    </row>
    <row r="180" spans="1:18" x14ac:dyDescent="0.25">
      <c r="A180">
        <f t="shared" si="18"/>
        <v>178</v>
      </c>
      <c r="B180">
        <v>178</v>
      </c>
      <c r="C180" t="str">
        <f t="shared" si="19"/>
        <v>INCOMPLETA</v>
      </c>
      <c r="D180" t="str">
        <f t="shared" si="20"/>
        <v>ERRO</v>
      </c>
      <c r="E180" t="str">
        <f t="shared" si="16"/>
        <v>QUANTIDADE_VAZIA; CLIENTE_VAZIA</v>
      </c>
      <c r="F180" cm="1">
        <f t="array" ref="F180">IF(ISERR(FIND("PRECO_VAZIA", INDEX(tbl_vendas564[Tipo_Erro], ROW()-ROW(tbl_vendas564[#Headers])))), 0, 1)</f>
        <v>0</v>
      </c>
      <c r="G180" cm="1">
        <f t="array" ref="G180">IF(ISERR(FIND("PRODUTO_VAZIA", INDEX(tbl_vendas564[Tipo_Erro], ROW()-ROW(tbl_vendas564[#Headers])))), 0, 1)</f>
        <v>0</v>
      </c>
      <c r="H180" cm="1">
        <f t="array" ref="H180">IF(ISERR(FIND("CLIENTE_VAZIA", INDEX(tbl_vendas564[Tipo_Erro], ROW()-ROW(tbl_vendas564[#Headers])))), 0, 1)</f>
        <v>1</v>
      </c>
      <c r="I180" cm="1">
        <f t="array" ref="I180">IF(ISERR(FIND("QUANTIDADE_NEGATIVA", INDEX(tbl_vendas564[Tipo_Erro], ROW()-ROW(tbl_vendas564[#Headers])))), 0, 1)</f>
        <v>0</v>
      </c>
      <c r="J180" cm="1">
        <f t="array" ref="J180">IF(ISERR(FIND("QUANTIDADE_VAZIA", INDEX(tbl_vendas564[Tipo_Erro], ROW()-ROW(tbl_vendas564[#Headers])))), 0, 1)</f>
        <v>1</v>
      </c>
      <c r="K180" cm="1">
        <f t="array" ref="K180">IF(ISERR(FIND("CIDADE_VAZIA", INDEX(tbl_vendas564[Tipo_Erro], ROW()-ROW(tbl_vendas564[#Headers])))), 0, 1)</f>
        <v>0</v>
      </c>
      <c r="L180" s="1" t="s">
        <v>76</v>
      </c>
      <c r="N180" t="s">
        <v>9</v>
      </c>
      <c r="O180">
        <v>10</v>
      </c>
      <c r="P180" s="2" t="s">
        <v>35</v>
      </c>
      <c r="Q180" s="3" t="str">
        <f t="shared" si="17"/>
        <v>R$ 30</v>
      </c>
      <c r="R180" t="s">
        <v>13</v>
      </c>
    </row>
    <row r="181" spans="1:18" x14ac:dyDescent="0.25">
      <c r="A181">
        <f t="shared" si="18"/>
        <v>179</v>
      </c>
      <c r="B181">
        <v>179</v>
      </c>
      <c r="C181" t="str">
        <f t="shared" si="19"/>
        <v>INCOMPLETA</v>
      </c>
      <c r="D181" t="str">
        <f t="shared" si="20"/>
        <v>ERRO</v>
      </c>
      <c r="E181" t="str">
        <f t="shared" si="16"/>
        <v>PRODUTO_VAZIA</v>
      </c>
      <c r="F181" cm="1">
        <f t="array" ref="F181">IF(ISERR(FIND("PRECO_VAZIA", INDEX(tbl_vendas564[Tipo_Erro], ROW()-ROW(tbl_vendas564[#Headers])))), 0, 1)</f>
        <v>0</v>
      </c>
      <c r="G181" cm="1">
        <f t="array" ref="G181">IF(ISERR(FIND("PRODUTO_VAZIA", INDEX(tbl_vendas564[Tipo_Erro], ROW()-ROW(tbl_vendas564[#Headers])))), 0, 1)</f>
        <v>1</v>
      </c>
      <c r="H181" cm="1">
        <f t="array" ref="H181">IF(ISERR(FIND("CLIENTE_VAZIA", INDEX(tbl_vendas564[Tipo_Erro], ROW()-ROW(tbl_vendas564[#Headers])))), 0, 1)</f>
        <v>0</v>
      </c>
      <c r="I181" cm="1">
        <f t="array" ref="I181">IF(ISERR(FIND("QUANTIDADE_NEGATIVA", INDEX(tbl_vendas564[Tipo_Erro], ROW()-ROW(tbl_vendas564[#Headers])))), 0, 1)</f>
        <v>0</v>
      </c>
      <c r="J181" cm="1">
        <f t="array" ref="J181">IF(ISERR(FIND("QUANTIDADE_VAZIA", INDEX(tbl_vendas564[Tipo_Erro], ROW()-ROW(tbl_vendas564[#Headers])))), 0, 1)</f>
        <v>0</v>
      </c>
      <c r="K181" cm="1">
        <f t="array" ref="K181">IF(ISERR(FIND("CIDADE_VAZIA", INDEX(tbl_vendas564[Tipo_Erro], ROW()-ROW(tbl_vendas564[#Headers])))), 0, 1)</f>
        <v>0</v>
      </c>
      <c r="L181" s="1" t="s">
        <v>146</v>
      </c>
      <c r="M181" t="s">
        <v>12</v>
      </c>
      <c r="O181">
        <v>12</v>
      </c>
      <c r="P181" s="2">
        <v>477.17</v>
      </c>
      <c r="Q181" s="3">
        <f t="shared" si="17"/>
        <v>477.17</v>
      </c>
      <c r="R181" t="s">
        <v>49</v>
      </c>
    </row>
    <row r="182" spans="1:18" x14ac:dyDescent="0.25">
      <c r="A182">
        <f t="shared" si="18"/>
        <v>180</v>
      </c>
      <c r="B182">
        <v>180</v>
      </c>
      <c r="C182" t="str">
        <f t="shared" si="19"/>
        <v>COMPLETA</v>
      </c>
      <c r="D182" t="str">
        <f t="shared" si="20"/>
        <v>OK</v>
      </c>
      <c r="E182" t="str">
        <f t="shared" si="16"/>
        <v/>
      </c>
      <c r="F182" cm="1">
        <f t="array" ref="F182">IF(ISERR(FIND("PRECO_VAZIA", INDEX(tbl_vendas564[Tipo_Erro], ROW()-ROW(tbl_vendas564[#Headers])))), 0, 1)</f>
        <v>0</v>
      </c>
      <c r="G182" cm="1">
        <f t="array" ref="G182">IF(ISERR(FIND("PRODUTO_VAZIA", INDEX(tbl_vendas564[Tipo_Erro], ROW()-ROW(tbl_vendas564[#Headers])))), 0, 1)</f>
        <v>0</v>
      </c>
      <c r="H182" cm="1">
        <f t="array" ref="H182">IF(ISERR(FIND("CLIENTE_VAZIA", INDEX(tbl_vendas564[Tipo_Erro], ROW()-ROW(tbl_vendas564[#Headers])))), 0, 1)</f>
        <v>0</v>
      </c>
      <c r="I182" cm="1">
        <f t="array" ref="I182">IF(ISERR(FIND("QUANTIDADE_NEGATIVA", INDEX(tbl_vendas564[Tipo_Erro], ROW()-ROW(tbl_vendas564[#Headers])))), 0, 1)</f>
        <v>0</v>
      </c>
      <c r="J182" cm="1">
        <f t="array" ref="J182">IF(ISERR(FIND("QUANTIDADE_VAZIA", INDEX(tbl_vendas564[Tipo_Erro], ROW()-ROW(tbl_vendas564[#Headers])))), 0, 1)</f>
        <v>0</v>
      </c>
      <c r="K182" cm="1">
        <f t="array" ref="K182">IF(ISERR(FIND("CIDADE_VAZIA", INDEX(tbl_vendas564[Tipo_Erro], ROW()-ROW(tbl_vendas564[#Headers])))), 0, 1)</f>
        <v>0</v>
      </c>
      <c r="L182" t="s">
        <v>147</v>
      </c>
      <c r="M182" t="s">
        <v>33</v>
      </c>
      <c r="N182" t="s">
        <v>19</v>
      </c>
      <c r="O182">
        <v>9</v>
      </c>
      <c r="P182">
        <v>184.98</v>
      </c>
      <c r="Q182" s="3">
        <f t="shared" si="17"/>
        <v>184.98</v>
      </c>
      <c r="R182" t="s">
        <v>17</v>
      </c>
    </row>
    <row r="183" spans="1:18" x14ac:dyDescent="0.25">
      <c r="A183">
        <f t="shared" si="18"/>
        <v>181</v>
      </c>
      <c r="B183">
        <v>181</v>
      </c>
      <c r="C183" t="str">
        <f t="shared" si="19"/>
        <v>INCOMPLETA</v>
      </c>
      <c r="D183" t="str">
        <f t="shared" si="20"/>
        <v>ERRO</v>
      </c>
      <c r="E183" t="str">
        <f t="shared" si="16"/>
        <v>CIDADE_VAZIA</v>
      </c>
      <c r="F183" cm="1">
        <f t="array" ref="F183">IF(ISERR(FIND("PRECO_VAZIA", INDEX(tbl_vendas564[Tipo_Erro], ROW()-ROW(tbl_vendas564[#Headers])))), 0, 1)</f>
        <v>0</v>
      </c>
      <c r="G183" cm="1">
        <f t="array" ref="G183">IF(ISERR(FIND("PRODUTO_VAZIA", INDEX(tbl_vendas564[Tipo_Erro], ROW()-ROW(tbl_vendas564[#Headers])))), 0, 1)</f>
        <v>0</v>
      </c>
      <c r="H183" cm="1">
        <f t="array" ref="H183">IF(ISERR(FIND("CLIENTE_VAZIA", INDEX(tbl_vendas564[Tipo_Erro], ROW()-ROW(tbl_vendas564[#Headers])))), 0, 1)</f>
        <v>0</v>
      </c>
      <c r="I183" cm="1">
        <f t="array" ref="I183">IF(ISERR(FIND("QUANTIDADE_NEGATIVA", INDEX(tbl_vendas564[Tipo_Erro], ROW()-ROW(tbl_vendas564[#Headers])))), 0, 1)</f>
        <v>0</v>
      </c>
      <c r="J183" cm="1">
        <f t="array" ref="J183">IF(ISERR(FIND("QUANTIDADE_VAZIA", INDEX(tbl_vendas564[Tipo_Erro], ROW()-ROW(tbl_vendas564[#Headers])))), 0, 1)</f>
        <v>0</v>
      </c>
      <c r="K183" cm="1">
        <f t="array" ref="K183">IF(ISERR(FIND("CIDADE_VAZIA", INDEX(tbl_vendas564[Tipo_Erro], ROW()-ROW(tbl_vendas564[#Headers])))), 0, 1)</f>
        <v>1</v>
      </c>
      <c r="L183" s="1" t="s">
        <v>142</v>
      </c>
      <c r="M183" t="s">
        <v>12</v>
      </c>
      <c r="N183" t="s">
        <v>19</v>
      </c>
      <c r="O183">
        <v>5</v>
      </c>
      <c r="P183" s="2" t="s">
        <v>35</v>
      </c>
      <c r="Q183" s="3" t="str">
        <f t="shared" si="17"/>
        <v>R$ 30</v>
      </c>
    </row>
    <row r="184" spans="1:18" x14ac:dyDescent="0.25">
      <c r="A184">
        <f t="shared" si="18"/>
        <v>182</v>
      </c>
      <c r="B184">
        <v>182</v>
      </c>
      <c r="C184" t="str">
        <f t="shared" si="19"/>
        <v>INCOMPLETA</v>
      </c>
      <c r="D184" t="str">
        <f t="shared" si="20"/>
        <v>ERRO</v>
      </c>
      <c r="E184" t="str">
        <f t="shared" si="16"/>
        <v>PRECO_VAZIA</v>
      </c>
      <c r="F184" cm="1">
        <f t="array" ref="F184">IF(ISERR(FIND("PRECO_VAZIA", INDEX(tbl_vendas564[Tipo_Erro], ROW()-ROW(tbl_vendas564[#Headers])))), 0, 1)</f>
        <v>1</v>
      </c>
      <c r="G184" cm="1">
        <f t="array" ref="G184">IF(ISERR(FIND("PRODUTO_VAZIA", INDEX(tbl_vendas564[Tipo_Erro], ROW()-ROW(tbl_vendas564[#Headers])))), 0, 1)</f>
        <v>0</v>
      </c>
      <c r="H184" cm="1">
        <f t="array" ref="H184">IF(ISERR(FIND("CLIENTE_VAZIA", INDEX(tbl_vendas564[Tipo_Erro], ROW()-ROW(tbl_vendas564[#Headers])))), 0, 1)</f>
        <v>0</v>
      </c>
      <c r="I184" cm="1">
        <f t="array" ref="I184">IF(ISERR(FIND("QUANTIDADE_NEGATIVA", INDEX(tbl_vendas564[Tipo_Erro], ROW()-ROW(tbl_vendas564[#Headers])))), 0, 1)</f>
        <v>0</v>
      </c>
      <c r="J184" cm="1">
        <f t="array" ref="J184">IF(ISERR(FIND("QUANTIDADE_VAZIA", INDEX(tbl_vendas564[Tipo_Erro], ROW()-ROW(tbl_vendas564[#Headers])))), 0, 1)</f>
        <v>0</v>
      </c>
      <c r="K184" cm="1">
        <f t="array" ref="K184">IF(ISERR(FIND("CIDADE_VAZIA", INDEX(tbl_vendas564[Tipo_Erro], ROW()-ROW(tbl_vendas564[#Headers])))), 0, 1)</f>
        <v>0</v>
      </c>
      <c r="L184" s="1" t="s">
        <v>115</v>
      </c>
      <c r="M184" t="s">
        <v>33</v>
      </c>
      <c r="N184" t="s">
        <v>31</v>
      </c>
      <c r="P184" s="2">
        <v>-10</v>
      </c>
      <c r="Q184" s="3" t="str">
        <f t="shared" si="17"/>
        <v/>
      </c>
      <c r="R184" t="s">
        <v>21</v>
      </c>
    </row>
    <row r="185" spans="1:18" x14ac:dyDescent="0.25">
      <c r="A185">
        <f t="shared" si="18"/>
        <v>183</v>
      </c>
      <c r="B185">
        <v>183</v>
      </c>
      <c r="C185" t="str">
        <f t="shared" si="19"/>
        <v>INCOMPLETA</v>
      </c>
      <c r="D185" t="str">
        <f t="shared" si="20"/>
        <v>ERRO</v>
      </c>
      <c r="E185" t="str">
        <f t="shared" si="16"/>
        <v>PRECO_VAZIA</v>
      </c>
      <c r="F185" cm="1">
        <f t="array" ref="F185">IF(ISERR(FIND("PRECO_VAZIA", INDEX(tbl_vendas564[Tipo_Erro], ROW()-ROW(tbl_vendas564[#Headers])))), 0, 1)</f>
        <v>1</v>
      </c>
      <c r="G185" cm="1">
        <f t="array" ref="G185">IF(ISERR(FIND("PRODUTO_VAZIA", INDEX(tbl_vendas564[Tipo_Erro], ROW()-ROW(tbl_vendas564[#Headers])))), 0, 1)</f>
        <v>0</v>
      </c>
      <c r="H185" cm="1">
        <f t="array" ref="H185">IF(ISERR(FIND("CLIENTE_VAZIA", INDEX(tbl_vendas564[Tipo_Erro], ROW()-ROW(tbl_vendas564[#Headers])))), 0, 1)</f>
        <v>0</v>
      </c>
      <c r="I185" cm="1">
        <f t="array" ref="I185">IF(ISERR(FIND("QUANTIDADE_NEGATIVA", INDEX(tbl_vendas564[Tipo_Erro], ROW()-ROW(tbl_vendas564[#Headers])))), 0, 1)</f>
        <v>0</v>
      </c>
      <c r="J185" cm="1">
        <f t="array" ref="J185">IF(ISERR(FIND("QUANTIDADE_VAZIA", INDEX(tbl_vendas564[Tipo_Erro], ROW()-ROW(tbl_vendas564[#Headers])))), 0, 1)</f>
        <v>0</v>
      </c>
      <c r="K185" cm="1">
        <f t="array" ref="K185">IF(ISERR(FIND("CIDADE_VAZIA", INDEX(tbl_vendas564[Tipo_Erro], ROW()-ROW(tbl_vendas564[#Headers])))), 0, 1)</f>
        <v>0</v>
      </c>
      <c r="L185" s="1" t="s">
        <v>147</v>
      </c>
      <c r="M185" t="s">
        <v>26</v>
      </c>
      <c r="N185" t="s">
        <v>37</v>
      </c>
      <c r="O185">
        <v>10</v>
      </c>
      <c r="P185" s="2">
        <v>-10</v>
      </c>
      <c r="Q185" s="3" t="str">
        <f t="shared" si="17"/>
        <v/>
      </c>
      <c r="R185" t="s">
        <v>17</v>
      </c>
    </row>
    <row r="186" spans="1:18" x14ac:dyDescent="0.25">
      <c r="A186">
        <f t="shared" si="18"/>
        <v>184</v>
      </c>
      <c r="B186">
        <v>185</v>
      </c>
      <c r="C186" t="str">
        <f t="shared" si="19"/>
        <v>INCOMPLETA</v>
      </c>
      <c r="D186" t="str">
        <f t="shared" si="20"/>
        <v>ERRO</v>
      </c>
      <c r="E186" t="str">
        <f t="shared" si="16"/>
        <v>PRECO_VAZIA</v>
      </c>
      <c r="F186" cm="1">
        <f t="array" ref="F186">IF(ISERR(FIND("PRECO_VAZIA", INDEX(tbl_vendas564[Tipo_Erro], ROW()-ROW(tbl_vendas564[#Headers])))), 0, 1)</f>
        <v>1</v>
      </c>
      <c r="G186" cm="1">
        <f t="array" ref="G186">IF(ISERR(FIND("PRODUTO_VAZIA", INDEX(tbl_vendas564[Tipo_Erro], ROW()-ROW(tbl_vendas564[#Headers])))), 0, 1)</f>
        <v>0</v>
      </c>
      <c r="H186" cm="1">
        <f t="array" ref="H186">IF(ISERR(FIND("CLIENTE_VAZIA", INDEX(tbl_vendas564[Tipo_Erro], ROW()-ROW(tbl_vendas564[#Headers])))), 0, 1)</f>
        <v>0</v>
      </c>
      <c r="I186" cm="1">
        <f t="array" ref="I186">IF(ISERR(FIND("QUANTIDADE_NEGATIVA", INDEX(tbl_vendas564[Tipo_Erro], ROW()-ROW(tbl_vendas564[#Headers])))), 0, 1)</f>
        <v>0</v>
      </c>
      <c r="J186" cm="1">
        <f t="array" ref="J186">IF(ISERR(FIND("QUANTIDADE_VAZIA", INDEX(tbl_vendas564[Tipo_Erro], ROW()-ROW(tbl_vendas564[#Headers])))), 0, 1)</f>
        <v>0</v>
      </c>
      <c r="K186" cm="1">
        <f t="array" ref="K186">IF(ISERR(FIND("CIDADE_VAZIA", INDEX(tbl_vendas564[Tipo_Erro], ROW()-ROW(tbl_vendas564[#Headers])))), 0, 1)</f>
        <v>0</v>
      </c>
      <c r="L186" s="1" t="s">
        <v>149</v>
      </c>
      <c r="M186" t="s">
        <v>33</v>
      </c>
      <c r="N186" t="s">
        <v>47</v>
      </c>
      <c r="P186" s="2">
        <v>-10</v>
      </c>
      <c r="Q186" s="3" t="str">
        <f t="shared" si="17"/>
        <v/>
      </c>
      <c r="R186" t="s">
        <v>17</v>
      </c>
    </row>
    <row r="187" spans="1:18" x14ac:dyDescent="0.25">
      <c r="A187">
        <f t="shared" si="18"/>
        <v>185</v>
      </c>
      <c r="B187">
        <v>186</v>
      </c>
      <c r="C187" t="str">
        <f t="shared" si="19"/>
        <v>INCOMPLETA</v>
      </c>
      <c r="D187" t="str">
        <f t="shared" si="20"/>
        <v>ERRO</v>
      </c>
      <c r="E187" t="str">
        <f t="shared" si="16"/>
        <v>PRECO_VAZIA</v>
      </c>
      <c r="F187" cm="1">
        <f t="array" ref="F187">IF(ISERR(FIND("PRECO_VAZIA", INDEX(tbl_vendas564[Tipo_Erro], ROW()-ROW(tbl_vendas564[#Headers])))), 0, 1)</f>
        <v>1</v>
      </c>
      <c r="G187" cm="1">
        <f t="array" ref="G187">IF(ISERR(FIND("PRODUTO_VAZIA", INDEX(tbl_vendas564[Tipo_Erro], ROW()-ROW(tbl_vendas564[#Headers])))), 0, 1)</f>
        <v>0</v>
      </c>
      <c r="H187" cm="1">
        <f t="array" ref="H187">IF(ISERR(FIND("CLIENTE_VAZIA", INDEX(tbl_vendas564[Tipo_Erro], ROW()-ROW(tbl_vendas564[#Headers])))), 0, 1)</f>
        <v>0</v>
      </c>
      <c r="I187" cm="1">
        <f t="array" ref="I187">IF(ISERR(FIND("QUANTIDADE_NEGATIVA", INDEX(tbl_vendas564[Tipo_Erro], ROW()-ROW(tbl_vendas564[#Headers])))), 0, 1)</f>
        <v>0</v>
      </c>
      <c r="J187" cm="1">
        <f t="array" ref="J187">IF(ISERR(FIND("QUANTIDADE_VAZIA", INDEX(tbl_vendas564[Tipo_Erro], ROW()-ROW(tbl_vendas564[#Headers])))), 0, 1)</f>
        <v>0</v>
      </c>
      <c r="K187" cm="1">
        <f t="array" ref="K187">IF(ISERR(FIND("CIDADE_VAZIA", INDEX(tbl_vendas564[Tipo_Erro], ROW()-ROW(tbl_vendas564[#Headers])))), 0, 1)</f>
        <v>0</v>
      </c>
      <c r="L187" s="1" t="s">
        <v>150</v>
      </c>
      <c r="M187" t="s">
        <v>8</v>
      </c>
      <c r="N187" t="s">
        <v>23</v>
      </c>
      <c r="O187">
        <v>14</v>
      </c>
      <c r="P187" s="2"/>
      <c r="Q187" s="3" t="str">
        <f t="shared" si="17"/>
        <v/>
      </c>
      <c r="R187" t="s">
        <v>10</v>
      </c>
    </row>
    <row r="188" spans="1:18" x14ac:dyDescent="0.25">
      <c r="A188">
        <f t="shared" si="18"/>
        <v>186</v>
      </c>
      <c r="B188">
        <v>187</v>
      </c>
      <c r="C188" t="str">
        <f t="shared" si="19"/>
        <v>INCOMPLETA</v>
      </c>
      <c r="D188" t="str">
        <f t="shared" si="20"/>
        <v>ERRO</v>
      </c>
      <c r="E188" t="str">
        <f t="shared" si="16"/>
        <v>PRECO_VAZIA</v>
      </c>
      <c r="F188" cm="1">
        <f t="array" ref="F188">IF(ISERR(FIND("PRECO_VAZIA", INDEX(tbl_vendas564[Tipo_Erro], ROW()-ROW(tbl_vendas564[#Headers])))), 0, 1)</f>
        <v>1</v>
      </c>
      <c r="G188" cm="1">
        <f t="array" ref="G188">IF(ISERR(FIND("PRODUTO_VAZIA", INDEX(tbl_vendas564[Tipo_Erro], ROW()-ROW(tbl_vendas564[#Headers])))), 0, 1)</f>
        <v>0</v>
      </c>
      <c r="H188" cm="1">
        <f t="array" ref="H188">IF(ISERR(FIND("CLIENTE_VAZIA", INDEX(tbl_vendas564[Tipo_Erro], ROW()-ROW(tbl_vendas564[#Headers])))), 0, 1)</f>
        <v>0</v>
      </c>
      <c r="I188" cm="1">
        <f t="array" ref="I188">IF(ISERR(FIND("QUANTIDADE_NEGATIVA", INDEX(tbl_vendas564[Tipo_Erro], ROW()-ROW(tbl_vendas564[#Headers])))), 0, 1)</f>
        <v>0</v>
      </c>
      <c r="J188" cm="1">
        <f t="array" ref="J188">IF(ISERR(FIND("QUANTIDADE_VAZIA", INDEX(tbl_vendas564[Tipo_Erro], ROW()-ROW(tbl_vendas564[#Headers])))), 0, 1)</f>
        <v>0</v>
      </c>
      <c r="K188" cm="1">
        <f t="array" ref="K188">IF(ISERR(FIND("CIDADE_VAZIA", INDEX(tbl_vendas564[Tipo_Erro], ROW()-ROW(tbl_vendas564[#Headers])))), 0, 1)</f>
        <v>0</v>
      </c>
      <c r="L188" s="1" t="s">
        <v>151</v>
      </c>
      <c r="M188" t="s">
        <v>12</v>
      </c>
      <c r="N188" t="s">
        <v>19</v>
      </c>
      <c r="O188">
        <v>10</v>
      </c>
      <c r="P188" s="2">
        <v>-10</v>
      </c>
      <c r="Q188" s="3" t="str">
        <f t="shared" si="17"/>
        <v/>
      </c>
      <c r="R188" t="s">
        <v>13</v>
      </c>
    </row>
    <row r="189" spans="1:18" x14ac:dyDescent="0.25">
      <c r="A189">
        <f t="shared" si="18"/>
        <v>187</v>
      </c>
      <c r="B189">
        <v>188</v>
      </c>
      <c r="C189" t="str">
        <f t="shared" si="19"/>
        <v>INCOMPLETA</v>
      </c>
      <c r="D189" t="str">
        <f t="shared" si="20"/>
        <v>ERRO</v>
      </c>
      <c r="E189" t="str">
        <f t="shared" si="16"/>
        <v/>
      </c>
      <c r="F189" cm="1">
        <f t="array" ref="F189">IF(ISERR(FIND("PRECO_VAZIA", INDEX(tbl_vendas564[Tipo_Erro], ROW()-ROW(tbl_vendas564[#Headers])))), 0, 1)</f>
        <v>0</v>
      </c>
      <c r="G189" cm="1">
        <f t="array" ref="G189">IF(ISERR(FIND("PRODUTO_VAZIA", INDEX(tbl_vendas564[Tipo_Erro], ROW()-ROW(tbl_vendas564[#Headers])))), 0, 1)</f>
        <v>0</v>
      </c>
      <c r="H189" cm="1">
        <f t="array" ref="H189">IF(ISERR(FIND("CLIENTE_VAZIA", INDEX(tbl_vendas564[Tipo_Erro], ROW()-ROW(tbl_vendas564[#Headers])))), 0, 1)</f>
        <v>0</v>
      </c>
      <c r="I189" cm="1">
        <f t="array" ref="I189">IF(ISERR(FIND("QUANTIDADE_NEGATIVA", INDEX(tbl_vendas564[Tipo_Erro], ROW()-ROW(tbl_vendas564[#Headers])))), 0, 1)</f>
        <v>0</v>
      </c>
      <c r="J189" cm="1">
        <f t="array" ref="J189">IF(ISERR(FIND("QUANTIDADE_VAZIA", INDEX(tbl_vendas564[Tipo_Erro], ROW()-ROW(tbl_vendas564[#Headers])))), 0, 1)</f>
        <v>0</v>
      </c>
      <c r="K189" cm="1">
        <f t="array" ref="K189">IF(ISERR(FIND("CIDADE_VAZIA", INDEX(tbl_vendas564[Tipo_Erro], ROW()-ROW(tbl_vendas564[#Headers])))), 0, 1)</f>
        <v>0</v>
      </c>
      <c r="L189" s="1" t="s">
        <v>66</v>
      </c>
      <c r="M189" t="s">
        <v>33</v>
      </c>
      <c r="N189" t="s">
        <v>9</v>
      </c>
      <c r="P189" s="2">
        <v>395.81</v>
      </c>
      <c r="Q189" s="3">
        <f t="shared" si="17"/>
        <v>395.81</v>
      </c>
      <c r="R189" t="s">
        <v>49</v>
      </c>
    </row>
    <row r="190" spans="1:18" x14ac:dyDescent="0.25">
      <c r="A190">
        <f t="shared" si="18"/>
        <v>188</v>
      </c>
      <c r="B190">
        <v>188</v>
      </c>
      <c r="C190" t="str">
        <f t="shared" si="19"/>
        <v>COMPLETA</v>
      </c>
      <c r="D190" t="str">
        <f t="shared" si="20"/>
        <v>ERRO</v>
      </c>
      <c r="E190" t="str">
        <f t="shared" si="16"/>
        <v>QUANTIDADE_NEGATIVA</v>
      </c>
      <c r="F190" cm="1">
        <f t="array" ref="F190">IF(ISERR(FIND("PRECO_VAZIA", INDEX(tbl_vendas564[Tipo_Erro], ROW()-ROW(tbl_vendas564[#Headers])))), 0, 1)</f>
        <v>0</v>
      </c>
      <c r="G190" cm="1">
        <f t="array" ref="G190">IF(ISERR(FIND("PRODUTO_VAZIA", INDEX(tbl_vendas564[Tipo_Erro], ROW()-ROW(tbl_vendas564[#Headers])))), 0, 1)</f>
        <v>0</v>
      </c>
      <c r="H190" cm="1">
        <f t="array" ref="H190">IF(ISERR(FIND("CLIENTE_VAZIA", INDEX(tbl_vendas564[Tipo_Erro], ROW()-ROW(tbl_vendas564[#Headers])))), 0, 1)</f>
        <v>0</v>
      </c>
      <c r="I190" cm="1">
        <f t="array" ref="I190">IF(ISERR(FIND("QUANTIDADE_NEGATIVA", INDEX(tbl_vendas564[Tipo_Erro], ROW()-ROW(tbl_vendas564[#Headers])))), 0, 1)</f>
        <v>1</v>
      </c>
      <c r="J190" cm="1">
        <f t="array" ref="J190">IF(ISERR(FIND("QUANTIDADE_VAZIA", INDEX(tbl_vendas564[Tipo_Erro], ROW()-ROW(tbl_vendas564[#Headers])))), 0, 1)</f>
        <v>0</v>
      </c>
      <c r="K190" cm="1">
        <f t="array" ref="K190">IF(ISERR(FIND("CIDADE_VAZIA", INDEX(tbl_vendas564[Tipo_Erro], ROW()-ROW(tbl_vendas564[#Headers])))), 0, 1)</f>
        <v>0</v>
      </c>
      <c r="L190" s="1" t="s">
        <v>152</v>
      </c>
      <c r="M190" t="s">
        <v>33</v>
      </c>
      <c r="N190" t="s">
        <v>37</v>
      </c>
      <c r="O190">
        <v>-3</v>
      </c>
      <c r="P190" s="2">
        <v>144.53</v>
      </c>
      <c r="Q190" s="3">
        <f t="shared" si="17"/>
        <v>144.53</v>
      </c>
      <c r="R190" t="s">
        <v>21</v>
      </c>
    </row>
    <row r="191" spans="1:18" x14ac:dyDescent="0.25">
      <c r="A191">
        <f t="shared" si="18"/>
        <v>189</v>
      </c>
      <c r="B191">
        <v>189</v>
      </c>
      <c r="C191" t="str">
        <f t="shared" si="19"/>
        <v>INCOMPLETA</v>
      </c>
      <c r="D191" t="str">
        <f t="shared" si="20"/>
        <v>ERRO</v>
      </c>
      <c r="E191" t="str">
        <f t="shared" si="16"/>
        <v>PRECO_VAZIA; PRODUTO_VAZIA</v>
      </c>
      <c r="F191" cm="1">
        <f t="array" ref="F191">IF(ISERR(FIND("PRECO_VAZIA", INDEX(tbl_vendas564[Tipo_Erro], ROW()-ROW(tbl_vendas564[#Headers])))), 0, 1)</f>
        <v>1</v>
      </c>
      <c r="G191" cm="1">
        <f t="array" ref="G191">IF(ISERR(FIND("PRODUTO_VAZIA", INDEX(tbl_vendas564[Tipo_Erro], ROW()-ROW(tbl_vendas564[#Headers])))), 0, 1)</f>
        <v>1</v>
      </c>
      <c r="H191" cm="1">
        <f t="array" ref="H191">IF(ISERR(FIND("CLIENTE_VAZIA", INDEX(tbl_vendas564[Tipo_Erro], ROW()-ROW(tbl_vendas564[#Headers])))), 0, 1)</f>
        <v>0</v>
      </c>
      <c r="I191" cm="1">
        <f t="array" ref="I191">IF(ISERR(FIND("QUANTIDADE_NEGATIVA", INDEX(tbl_vendas564[Tipo_Erro], ROW()-ROW(tbl_vendas564[#Headers])))), 0, 1)</f>
        <v>0</v>
      </c>
      <c r="J191" cm="1">
        <f t="array" ref="J191">IF(ISERR(FIND("QUANTIDADE_VAZIA", INDEX(tbl_vendas564[Tipo_Erro], ROW()-ROW(tbl_vendas564[#Headers])))), 0, 1)</f>
        <v>0</v>
      </c>
      <c r="K191" cm="1">
        <f t="array" ref="K191">IF(ISERR(FIND("CIDADE_VAZIA", INDEX(tbl_vendas564[Tipo_Erro], ROW()-ROW(tbl_vendas564[#Headers])))), 0, 1)</f>
        <v>0</v>
      </c>
      <c r="L191" s="1" t="s">
        <v>56</v>
      </c>
      <c r="M191" t="s">
        <v>8</v>
      </c>
      <c r="O191">
        <v>6</v>
      </c>
      <c r="P191" s="2">
        <v>-10</v>
      </c>
      <c r="Q191" s="3" t="str">
        <f t="shared" si="17"/>
        <v/>
      </c>
      <c r="R191" t="s">
        <v>21</v>
      </c>
    </row>
    <row r="192" spans="1:18" x14ac:dyDescent="0.25">
      <c r="A192">
        <f t="shared" si="18"/>
        <v>190</v>
      </c>
      <c r="B192">
        <v>190</v>
      </c>
      <c r="C192" t="str">
        <f t="shared" si="19"/>
        <v>INCOMPLETA</v>
      </c>
      <c r="D192" t="str">
        <f t="shared" si="20"/>
        <v>ERRO</v>
      </c>
      <c r="E192" t="str">
        <f t="shared" si="16"/>
        <v>PRECO_VAZIA</v>
      </c>
      <c r="F192" cm="1">
        <f t="array" ref="F192">IF(ISERR(FIND("PRECO_VAZIA", INDEX(tbl_vendas564[Tipo_Erro], ROW()-ROW(tbl_vendas564[#Headers])))), 0, 1)</f>
        <v>1</v>
      </c>
      <c r="G192" cm="1">
        <f t="array" ref="G192">IF(ISERR(FIND("PRODUTO_VAZIA", INDEX(tbl_vendas564[Tipo_Erro], ROW()-ROW(tbl_vendas564[#Headers])))), 0, 1)</f>
        <v>0</v>
      </c>
      <c r="H192" cm="1">
        <f t="array" ref="H192">IF(ISERR(FIND("CLIENTE_VAZIA", INDEX(tbl_vendas564[Tipo_Erro], ROW()-ROW(tbl_vendas564[#Headers])))), 0, 1)</f>
        <v>0</v>
      </c>
      <c r="I192" cm="1">
        <f t="array" ref="I192">IF(ISERR(FIND("QUANTIDADE_NEGATIVA", INDEX(tbl_vendas564[Tipo_Erro], ROW()-ROW(tbl_vendas564[#Headers])))), 0, 1)</f>
        <v>0</v>
      </c>
      <c r="J192" cm="1">
        <f t="array" ref="J192">IF(ISERR(FIND("QUANTIDADE_VAZIA", INDEX(tbl_vendas564[Tipo_Erro], ROW()-ROW(tbl_vendas564[#Headers])))), 0, 1)</f>
        <v>0</v>
      </c>
      <c r="K192" cm="1">
        <f t="array" ref="K192">IF(ISERR(FIND("CIDADE_VAZIA", INDEX(tbl_vendas564[Tipo_Erro], ROW()-ROW(tbl_vendas564[#Headers])))), 0, 1)</f>
        <v>0</v>
      </c>
      <c r="L192" s="1" t="s">
        <v>51</v>
      </c>
      <c r="M192" t="s">
        <v>8</v>
      </c>
      <c r="N192" t="s">
        <v>19</v>
      </c>
      <c r="O192">
        <v>13</v>
      </c>
      <c r="P192" s="2">
        <v>-10</v>
      </c>
      <c r="Q192" s="3" t="str">
        <f t="shared" si="17"/>
        <v/>
      </c>
      <c r="R192" t="s">
        <v>17</v>
      </c>
    </row>
    <row r="193" spans="1:18" x14ac:dyDescent="0.25">
      <c r="A193">
        <f t="shared" si="18"/>
        <v>191</v>
      </c>
      <c r="B193">
        <v>191</v>
      </c>
      <c r="C193" t="str">
        <f t="shared" si="19"/>
        <v>COMPLETA</v>
      </c>
      <c r="D193" t="str">
        <f t="shared" si="20"/>
        <v>ERRO</v>
      </c>
      <c r="E193" t="str">
        <f t="shared" si="16"/>
        <v/>
      </c>
      <c r="F193" cm="1">
        <f t="array" ref="F193">IF(ISERR(FIND("PRECO_VAZIA", INDEX(tbl_vendas564[Tipo_Erro], ROW()-ROW(tbl_vendas564[#Headers])))), 0, 1)</f>
        <v>0</v>
      </c>
      <c r="G193" cm="1">
        <f t="array" ref="G193">IF(ISERR(FIND("PRODUTO_VAZIA", INDEX(tbl_vendas564[Tipo_Erro], ROW()-ROW(tbl_vendas564[#Headers])))), 0, 1)</f>
        <v>0</v>
      </c>
      <c r="H193" cm="1">
        <f t="array" ref="H193">IF(ISERR(FIND("CLIENTE_VAZIA", INDEX(tbl_vendas564[Tipo_Erro], ROW()-ROW(tbl_vendas564[#Headers])))), 0, 1)</f>
        <v>0</v>
      </c>
      <c r="I193" cm="1">
        <f t="array" ref="I193">IF(ISERR(FIND("QUANTIDADE_NEGATIVA", INDEX(tbl_vendas564[Tipo_Erro], ROW()-ROW(tbl_vendas564[#Headers])))), 0, 1)</f>
        <v>0</v>
      </c>
      <c r="J193" cm="1">
        <f t="array" ref="J193">IF(ISERR(FIND("QUANTIDADE_VAZIA", INDEX(tbl_vendas564[Tipo_Erro], ROW()-ROW(tbl_vendas564[#Headers])))), 0, 1)</f>
        <v>0</v>
      </c>
      <c r="K193" cm="1">
        <f t="array" ref="K193">IF(ISERR(FIND("CIDADE_VAZIA", INDEX(tbl_vendas564[Tipo_Erro], ROW()-ROW(tbl_vendas564[#Headers])))), 0, 1)</f>
        <v>0</v>
      </c>
      <c r="L193" s="1" t="s">
        <v>125</v>
      </c>
      <c r="M193" t="s">
        <v>12</v>
      </c>
      <c r="N193" t="s">
        <v>15</v>
      </c>
      <c r="O193">
        <v>10</v>
      </c>
      <c r="P193" s="2" t="s">
        <v>35</v>
      </c>
      <c r="Q193" s="3" t="str">
        <f t="shared" si="17"/>
        <v>R$ 30</v>
      </c>
      <c r="R193" t="s">
        <v>13</v>
      </c>
    </row>
    <row r="194" spans="1:18" x14ac:dyDescent="0.25">
      <c r="A194">
        <f t="shared" si="18"/>
        <v>192</v>
      </c>
      <c r="B194">
        <v>192</v>
      </c>
      <c r="C194" t="str">
        <f t="shared" ref="C194:C201" si="21">IF(AND(B194&lt;&gt;"",L194&lt;&gt;"",M194&lt;&gt;"",N194&lt;&gt;"",O194&lt;&gt;"",Q194&lt;&gt;"",R194&lt;&gt;""),"COMPLETA","INCOMPLETA")</f>
        <v>COMPLETA</v>
      </c>
      <c r="D194" t="str">
        <f t="shared" ref="D194:D201" si="22">IF(AND(C194="COMPLETA", ISNUMBER(O194), O194&gt;0, ISNUMBER(Q194), Q194&gt;0), "OK", "ERRO")</f>
        <v>ERRO</v>
      </c>
      <c r="E194" t="str">
        <f t="shared" ref="E194:E201" si="23">_xlfn.TEXTJOIN("; ", TRUE,
  IF(M194="", "QUANTIDADE_VAZIA", ""),
  IF(AND(ISNUMBER(O194), O194&lt;0), "QUANTIDADE_NEGATIVA", ""),
  IF(Q194="", "PRECO_VAZIA", ""),
  IF(M194="", "CLIENTE_VAZIA", ""),
  IF(N194="", "PRODUTO_VAZIA", ""),
  IF(R194="", "CIDADE_VAZIA", ""),
  IF(L194="", "DATA_VAZIA", "")
)</f>
        <v>QUANTIDADE_NEGATIVA</v>
      </c>
      <c r="F194" cm="1">
        <f t="array" ref="F194">IF(ISERR(FIND("PRECO_VAZIA", INDEX(tbl_vendas564[Tipo_Erro], ROW()-ROW(tbl_vendas564[#Headers])))), 0, 1)</f>
        <v>0</v>
      </c>
      <c r="G194" cm="1">
        <f t="array" ref="G194">IF(ISERR(FIND("PRODUTO_VAZIA", INDEX(tbl_vendas564[Tipo_Erro], ROW()-ROW(tbl_vendas564[#Headers])))), 0, 1)</f>
        <v>0</v>
      </c>
      <c r="H194" cm="1">
        <f t="array" ref="H194">IF(ISERR(FIND("CLIENTE_VAZIA", INDEX(tbl_vendas564[Tipo_Erro], ROW()-ROW(tbl_vendas564[#Headers])))), 0, 1)</f>
        <v>0</v>
      </c>
      <c r="I194" cm="1">
        <f t="array" ref="I194">IF(ISERR(FIND("QUANTIDADE_NEGATIVA", INDEX(tbl_vendas564[Tipo_Erro], ROW()-ROW(tbl_vendas564[#Headers])))), 0, 1)</f>
        <v>1</v>
      </c>
      <c r="J194" cm="1">
        <f t="array" ref="J194">IF(ISERR(FIND("QUANTIDADE_VAZIA", INDEX(tbl_vendas564[Tipo_Erro], ROW()-ROW(tbl_vendas564[#Headers])))), 0, 1)</f>
        <v>0</v>
      </c>
      <c r="K194" cm="1">
        <f t="array" ref="K194">IF(ISERR(FIND("CIDADE_VAZIA", INDEX(tbl_vendas564[Tipo_Erro], ROW()-ROW(tbl_vendas564[#Headers])))), 0, 1)</f>
        <v>0</v>
      </c>
      <c r="L194" s="1" t="s">
        <v>7</v>
      </c>
      <c r="M194" t="s">
        <v>26</v>
      </c>
      <c r="N194" t="s">
        <v>31</v>
      </c>
      <c r="O194">
        <v>-3</v>
      </c>
      <c r="P194" s="2">
        <v>457.64</v>
      </c>
      <c r="Q194" s="3">
        <f t="shared" ref="Q194:Q201" si="24">IF(P194&gt;0, P194, "")</f>
        <v>457.64</v>
      </c>
      <c r="R194" t="s">
        <v>17</v>
      </c>
    </row>
    <row r="195" spans="1:18" x14ac:dyDescent="0.25">
      <c r="A195">
        <f t="shared" ref="A195:A201" si="25">ROW() -2</f>
        <v>193</v>
      </c>
      <c r="B195">
        <v>193</v>
      </c>
      <c r="C195" t="str">
        <f t="shared" si="21"/>
        <v>INCOMPLETA</v>
      </c>
      <c r="D195" t="str">
        <f t="shared" si="22"/>
        <v>ERRO</v>
      </c>
      <c r="E195" t="str">
        <f t="shared" si="23"/>
        <v>PRECO_VAZIA</v>
      </c>
      <c r="F195" cm="1">
        <f t="array" ref="F195">IF(ISERR(FIND("PRECO_VAZIA", INDEX(tbl_vendas564[Tipo_Erro], ROW()-ROW(tbl_vendas564[#Headers])))), 0, 1)</f>
        <v>1</v>
      </c>
      <c r="G195" cm="1">
        <f t="array" ref="G195">IF(ISERR(FIND("PRODUTO_VAZIA", INDEX(tbl_vendas564[Tipo_Erro], ROW()-ROW(tbl_vendas564[#Headers])))), 0, 1)</f>
        <v>0</v>
      </c>
      <c r="H195" cm="1">
        <f t="array" ref="H195">IF(ISERR(FIND("CLIENTE_VAZIA", INDEX(tbl_vendas564[Tipo_Erro], ROW()-ROW(tbl_vendas564[#Headers])))), 0, 1)</f>
        <v>0</v>
      </c>
      <c r="I195" cm="1">
        <f t="array" ref="I195">IF(ISERR(FIND("QUANTIDADE_NEGATIVA", INDEX(tbl_vendas564[Tipo_Erro], ROW()-ROW(tbl_vendas564[#Headers])))), 0, 1)</f>
        <v>0</v>
      </c>
      <c r="J195" cm="1">
        <f t="array" ref="J195">IF(ISERR(FIND("QUANTIDADE_VAZIA", INDEX(tbl_vendas564[Tipo_Erro], ROW()-ROW(tbl_vendas564[#Headers])))), 0, 1)</f>
        <v>0</v>
      </c>
      <c r="K195" cm="1">
        <f t="array" ref="K195">IF(ISERR(FIND("CIDADE_VAZIA", INDEX(tbl_vendas564[Tipo_Erro], ROW()-ROW(tbl_vendas564[#Headers])))), 0, 1)</f>
        <v>0</v>
      </c>
      <c r="L195" s="1" t="s">
        <v>79</v>
      </c>
      <c r="M195" t="s">
        <v>33</v>
      </c>
      <c r="N195" t="s">
        <v>9</v>
      </c>
      <c r="O195">
        <v>10</v>
      </c>
      <c r="P195" s="2">
        <v>-10</v>
      </c>
      <c r="Q195" s="3" t="str">
        <f t="shared" si="24"/>
        <v/>
      </c>
      <c r="R195" t="s">
        <v>13</v>
      </c>
    </row>
    <row r="196" spans="1:18" x14ac:dyDescent="0.25">
      <c r="A196">
        <f t="shared" si="25"/>
        <v>194</v>
      </c>
      <c r="B196">
        <v>194</v>
      </c>
      <c r="C196" t="str">
        <f t="shared" si="21"/>
        <v>INCOMPLETA</v>
      </c>
      <c r="D196" t="str">
        <f t="shared" si="22"/>
        <v>ERRO</v>
      </c>
      <c r="E196" t="str">
        <f t="shared" si="23"/>
        <v>CIDADE_VAZIA</v>
      </c>
      <c r="F196" cm="1">
        <f t="array" ref="F196">IF(ISERR(FIND("PRECO_VAZIA", INDEX(tbl_vendas564[Tipo_Erro], ROW()-ROW(tbl_vendas564[#Headers])))), 0, 1)</f>
        <v>0</v>
      </c>
      <c r="G196" cm="1">
        <f t="array" ref="G196">IF(ISERR(FIND("PRODUTO_VAZIA", INDEX(tbl_vendas564[Tipo_Erro], ROW()-ROW(tbl_vendas564[#Headers])))), 0, 1)</f>
        <v>0</v>
      </c>
      <c r="H196" cm="1">
        <f t="array" ref="H196">IF(ISERR(FIND("CLIENTE_VAZIA", INDEX(tbl_vendas564[Tipo_Erro], ROW()-ROW(tbl_vendas564[#Headers])))), 0, 1)</f>
        <v>0</v>
      </c>
      <c r="I196" cm="1">
        <f t="array" ref="I196">IF(ISERR(FIND("QUANTIDADE_NEGATIVA", INDEX(tbl_vendas564[Tipo_Erro], ROW()-ROW(tbl_vendas564[#Headers])))), 0, 1)</f>
        <v>0</v>
      </c>
      <c r="J196" cm="1">
        <f t="array" ref="J196">IF(ISERR(FIND("QUANTIDADE_VAZIA", INDEX(tbl_vendas564[Tipo_Erro], ROW()-ROW(tbl_vendas564[#Headers])))), 0, 1)</f>
        <v>0</v>
      </c>
      <c r="K196" cm="1">
        <f t="array" ref="K196">IF(ISERR(FIND("CIDADE_VAZIA", INDEX(tbl_vendas564[Tipo_Erro], ROW()-ROW(tbl_vendas564[#Headers])))), 0, 1)</f>
        <v>1</v>
      </c>
      <c r="L196" s="1" t="s">
        <v>98</v>
      </c>
      <c r="M196" t="s">
        <v>33</v>
      </c>
      <c r="N196" t="s">
        <v>15</v>
      </c>
      <c r="O196">
        <v>15</v>
      </c>
      <c r="P196" s="2" t="s">
        <v>35</v>
      </c>
      <c r="Q196" s="3" t="str">
        <f t="shared" si="24"/>
        <v>R$ 30</v>
      </c>
    </row>
    <row r="197" spans="1:18" x14ac:dyDescent="0.25">
      <c r="A197">
        <f t="shared" si="25"/>
        <v>195</v>
      </c>
      <c r="B197">
        <v>195</v>
      </c>
      <c r="C197" t="str">
        <f t="shared" si="21"/>
        <v>INCOMPLETA</v>
      </c>
      <c r="D197" t="str">
        <f t="shared" si="22"/>
        <v>ERRO</v>
      </c>
      <c r="E197" t="str">
        <f t="shared" si="23"/>
        <v>QUANTIDADE_VAZIA; PRECO_VAZIA; CLIENTE_VAZIA; PRODUTO_VAZIA</v>
      </c>
      <c r="F197" cm="1">
        <f t="array" ref="F197">IF(ISERR(FIND("PRECO_VAZIA", INDEX(tbl_vendas564[Tipo_Erro], ROW()-ROW(tbl_vendas564[#Headers])))), 0, 1)</f>
        <v>1</v>
      </c>
      <c r="G197" cm="1">
        <f t="array" ref="G197">IF(ISERR(FIND("PRODUTO_VAZIA", INDEX(tbl_vendas564[Tipo_Erro], ROW()-ROW(tbl_vendas564[#Headers])))), 0, 1)</f>
        <v>1</v>
      </c>
      <c r="H197" cm="1">
        <f t="array" ref="H197">IF(ISERR(FIND("CLIENTE_VAZIA", INDEX(tbl_vendas564[Tipo_Erro], ROW()-ROW(tbl_vendas564[#Headers])))), 0, 1)</f>
        <v>1</v>
      </c>
      <c r="I197" cm="1">
        <f t="array" ref="I197">IF(ISERR(FIND("QUANTIDADE_NEGATIVA", INDEX(tbl_vendas564[Tipo_Erro], ROW()-ROW(tbl_vendas564[#Headers])))), 0, 1)</f>
        <v>0</v>
      </c>
      <c r="J197" cm="1">
        <f t="array" ref="J197">IF(ISERR(FIND("QUANTIDADE_VAZIA", INDEX(tbl_vendas564[Tipo_Erro], ROW()-ROW(tbl_vendas564[#Headers])))), 0, 1)</f>
        <v>1</v>
      </c>
      <c r="K197" cm="1">
        <f t="array" ref="K197">IF(ISERR(FIND("CIDADE_VAZIA", INDEX(tbl_vendas564[Tipo_Erro], ROW()-ROW(tbl_vendas564[#Headers])))), 0, 1)</f>
        <v>0</v>
      </c>
      <c r="L197" s="1" t="s">
        <v>153</v>
      </c>
      <c r="O197">
        <v>10</v>
      </c>
      <c r="P197" s="2"/>
      <c r="Q197" s="3" t="str">
        <f t="shared" si="24"/>
        <v/>
      </c>
      <c r="R197" t="s">
        <v>17</v>
      </c>
    </row>
    <row r="198" spans="1:18" x14ac:dyDescent="0.25">
      <c r="A198">
        <f t="shared" si="25"/>
        <v>196</v>
      </c>
      <c r="B198">
        <v>196</v>
      </c>
      <c r="C198" t="str">
        <f t="shared" si="21"/>
        <v>COMPLETA</v>
      </c>
      <c r="D198" t="str">
        <f t="shared" si="22"/>
        <v>ERRO</v>
      </c>
      <c r="E198" t="str">
        <f t="shared" si="23"/>
        <v>QUANTIDADE_NEGATIVA</v>
      </c>
      <c r="F198" cm="1">
        <f t="array" ref="F198">IF(ISERR(FIND("PRECO_VAZIA", INDEX(tbl_vendas564[Tipo_Erro], ROW()-ROW(tbl_vendas564[#Headers])))), 0, 1)</f>
        <v>0</v>
      </c>
      <c r="G198" cm="1">
        <f t="array" ref="G198">IF(ISERR(FIND("PRODUTO_VAZIA", INDEX(tbl_vendas564[Tipo_Erro], ROW()-ROW(tbl_vendas564[#Headers])))), 0, 1)</f>
        <v>0</v>
      </c>
      <c r="H198" cm="1">
        <f t="array" ref="H198">IF(ISERR(FIND("CLIENTE_VAZIA", INDEX(tbl_vendas564[Tipo_Erro], ROW()-ROW(tbl_vendas564[#Headers])))), 0, 1)</f>
        <v>0</v>
      </c>
      <c r="I198" cm="1">
        <f t="array" ref="I198">IF(ISERR(FIND("QUANTIDADE_NEGATIVA", INDEX(tbl_vendas564[Tipo_Erro], ROW()-ROW(tbl_vendas564[#Headers])))), 0, 1)</f>
        <v>1</v>
      </c>
      <c r="J198" cm="1">
        <f t="array" ref="J198">IF(ISERR(FIND("QUANTIDADE_VAZIA", INDEX(tbl_vendas564[Tipo_Erro], ROW()-ROW(tbl_vendas564[#Headers])))), 0, 1)</f>
        <v>0</v>
      </c>
      <c r="K198" cm="1">
        <f t="array" ref="K198">IF(ISERR(FIND("CIDADE_VAZIA", INDEX(tbl_vendas564[Tipo_Erro], ROW()-ROW(tbl_vendas564[#Headers])))), 0, 1)</f>
        <v>0</v>
      </c>
      <c r="L198" s="1" t="s">
        <v>71</v>
      </c>
      <c r="M198" t="s">
        <v>26</v>
      </c>
      <c r="N198" t="s">
        <v>15</v>
      </c>
      <c r="O198">
        <v>-3</v>
      </c>
      <c r="P198" s="2" t="s">
        <v>35</v>
      </c>
      <c r="Q198" s="3" t="str">
        <f t="shared" si="24"/>
        <v>R$ 30</v>
      </c>
      <c r="R198" t="s">
        <v>49</v>
      </c>
    </row>
    <row r="199" spans="1:18" x14ac:dyDescent="0.25">
      <c r="A199">
        <f t="shared" si="25"/>
        <v>197</v>
      </c>
      <c r="B199">
        <v>197</v>
      </c>
      <c r="C199" t="str">
        <f t="shared" si="21"/>
        <v>INCOMPLETA</v>
      </c>
      <c r="D199" t="str">
        <f t="shared" si="22"/>
        <v>ERRO</v>
      </c>
      <c r="E199" t="str">
        <f t="shared" si="23"/>
        <v>PRECO_VAZIA</v>
      </c>
      <c r="F199" cm="1">
        <f t="array" ref="F199">IF(ISERR(FIND("PRECO_VAZIA", INDEX(tbl_vendas564[Tipo_Erro], ROW()-ROW(tbl_vendas564[#Headers])))), 0, 1)</f>
        <v>1</v>
      </c>
      <c r="G199" cm="1">
        <f t="array" ref="G199">IF(ISERR(FIND("PRODUTO_VAZIA", INDEX(tbl_vendas564[Tipo_Erro], ROW()-ROW(tbl_vendas564[#Headers])))), 0, 1)</f>
        <v>0</v>
      </c>
      <c r="H199" cm="1">
        <f t="array" ref="H199">IF(ISERR(FIND("CLIENTE_VAZIA", INDEX(tbl_vendas564[Tipo_Erro], ROW()-ROW(tbl_vendas564[#Headers])))), 0, 1)</f>
        <v>0</v>
      </c>
      <c r="I199" cm="1">
        <f t="array" ref="I199">IF(ISERR(FIND("QUANTIDADE_NEGATIVA", INDEX(tbl_vendas564[Tipo_Erro], ROW()-ROW(tbl_vendas564[#Headers])))), 0, 1)</f>
        <v>0</v>
      </c>
      <c r="J199" cm="1">
        <f t="array" ref="J199">IF(ISERR(FIND("QUANTIDADE_VAZIA", INDEX(tbl_vendas564[Tipo_Erro], ROW()-ROW(tbl_vendas564[#Headers])))), 0, 1)</f>
        <v>0</v>
      </c>
      <c r="K199" cm="1">
        <f t="array" ref="K199">IF(ISERR(FIND("CIDADE_VAZIA", INDEX(tbl_vendas564[Tipo_Erro], ROW()-ROW(tbl_vendas564[#Headers])))), 0, 1)</f>
        <v>0</v>
      </c>
      <c r="L199" s="1" t="s">
        <v>34</v>
      </c>
      <c r="M199" t="s">
        <v>26</v>
      </c>
      <c r="N199" t="s">
        <v>23</v>
      </c>
      <c r="O199">
        <v>10</v>
      </c>
      <c r="P199" s="2">
        <v>-10</v>
      </c>
      <c r="Q199" s="3" t="str">
        <f t="shared" si="24"/>
        <v/>
      </c>
      <c r="R199" t="s">
        <v>10</v>
      </c>
    </row>
    <row r="200" spans="1:18" x14ac:dyDescent="0.25">
      <c r="A200">
        <f t="shared" si="25"/>
        <v>198</v>
      </c>
      <c r="B200">
        <v>198</v>
      </c>
      <c r="C200" t="str">
        <f t="shared" si="21"/>
        <v>INCOMPLETA</v>
      </c>
      <c r="D200" t="str">
        <f t="shared" si="22"/>
        <v>ERRO</v>
      </c>
      <c r="E200" t="str">
        <f t="shared" si="23"/>
        <v>QUANTIDADE_VAZIA; PRECO_VAZIA; CLIENTE_VAZIA</v>
      </c>
      <c r="F200" cm="1">
        <f t="array" ref="F200">IF(ISERR(FIND("PRECO_VAZIA", INDEX(tbl_vendas564[Tipo_Erro], ROW()-ROW(tbl_vendas564[#Headers])))), 0, 1)</f>
        <v>1</v>
      </c>
      <c r="G200" cm="1">
        <f t="array" ref="G200">IF(ISERR(FIND("PRODUTO_VAZIA", INDEX(tbl_vendas564[Tipo_Erro], ROW()-ROW(tbl_vendas564[#Headers])))), 0, 1)</f>
        <v>0</v>
      </c>
      <c r="H200" cm="1">
        <f t="array" ref="H200">IF(ISERR(FIND("CLIENTE_VAZIA", INDEX(tbl_vendas564[Tipo_Erro], ROW()-ROW(tbl_vendas564[#Headers])))), 0, 1)</f>
        <v>1</v>
      </c>
      <c r="I200" cm="1">
        <f t="array" ref="I200">IF(ISERR(FIND("QUANTIDADE_NEGATIVA", INDEX(tbl_vendas564[Tipo_Erro], ROW()-ROW(tbl_vendas564[#Headers])))), 0, 1)</f>
        <v>0</v>
      </c>
      <c r="J200" cm="1">
        <f t="array" ref="J200">IF(ISERR(FIND("QUANTIDADE_VAZIA", INDEX(tbl_vendas564[Tipo_Erro], ROW()-ROW(tbl_vendas564[#Headers])))), 0, 1)</f>
        <v>1</v>
      </c>
      <c r="K200" cm="1">
        <f t="array" ref="K200">IF(ISERR(FIND("CIDADE_VAZIA", INDEX(tbl_vendas564[Tipo_Erro], ROW()-ROW(tbl_vendas564[#Headers])))), 0, 1)</f>
        <v>0</v>
      </c>
      <c r="L200" s="1" t="s">
        <v>65</v>
      </c>
      <c r="N200" t="s">
        <v>23</v>
      </c>
      <c r="O200">
        <v>10</v>
      </c>
      <c r="P200" s="2">
        <v>-10</v>
      </c>
      <c r="Q200" s="3" t="str">
        <f t="shared" si="24"/>
        <v/>
      </c>
      <c r="R200" t="s">
        <v>49</v>
      </c>
    </row>
    <row r="201" spans="1:18" x14ac:dyDescent="0.25">
      <c r="A201">
        <f t="shared" si="25"/>
        <v>199</v>
      </c>
      <c r="B201">
        <v>199</v>
      </c>
      <c r="C201" t="str">
        <f t="shared" si="21"/>
        <v>INCOMPLETA</v>
      </c>
      <c r="D201" t="str">
        <f t="shared" si="22"/>
        <v>ERRO</v>
      </c>
      <c r="E201" t="str">
        <f t="shared" si="23"/>
        <v>PRECO_VAZIA; PRODUTO_VAZIA</v>
      </c>
      <c r="F201" cm="1">
        <f t="array" ref="F201">IF(ISERR(FIND("PRECO_VAZIA", INDEX(tbl_vendas564[Tipo_Erro], ROW()-ROW(tbl_vendas564[#Headers])))), 0, 1)</f>
        <v>1</v>
      </c>
      <c r="G201" cm="1">
        <f t="array" ref="G201">IF(ISERR(FIND("PRODUTO_VAZIA", INDEX(tbl_vendas564[Tipo_Erro], ROW()-ROW(tbl_vendas564[#Headers])))), 0, 1)</f>
        <v>1</v>
      </c>
      <c r="H201" cm="1">
        <f t="array" ref="H201">IF(ISERR(FIND("CLIENTE_VAZIA", INDEX(tbl_vendas564[Tipo_Erro], ROW()-ROW(tbl_vendas564[#Headers])))), 0, 1)</f>
        <v>0</v>
      </c>
      <c r="I201" cm="1">
        <f t="array" ref="I201">IF(ISERR(FIND("QUANTIDADE_NEGATIVA", INDEX(tbl_vendas564[Tipo_Erro], ROW()-ROW(tbl_vendas564[#Headers])))), 0, 1)</f>
        <v>0</v>
      </c>
      <c r="J201" cm="1">
        <f t="array" ref="J201">IF(ISERR(FIND("QUANTIDADE_VAZIA", INDEX(tbl_vendas564[Tipo_Erro], ROW()-ROW(tbl_vendas564[#Headers])))), 0, 1)</f>
        <v>0</v>
      </c>
      <c r="K201" cm="1">
        <f t="array" ref="K201">IF(ISERR(FIND("CIDADE_VAZIA", INDEX(tbl_vendas564[Tipo_Erro], ROW()-ROW(tbl_vendas564[#Headers])))), 0, 1)</f>
        <v>0</v>
      </c>
      <c r="L201" s="1" t="s">
        <v>92</v>
      </c>
      <c r="M201" t="s">
        <v>26</v>
      </c>
      <c r="P201" s="2"/>
      <c r="Q201" s="3" t="str">
        <f t="shared" si="24"/>
        <v/>
      </c>
      <c r="R201" t="s">
        <v>49</v>
      </c>
    </row>
  </sheetData>
  <mergeCells count="3">
    <mergeCell ref="T49:T53"/>
    <mergeCell ref="T47:T48"/>
    <mergeCell ref="V49:V53"/>
  </mergeCells>
  <conditionalFormatting sqref="B1:B201">
    <cfRule type="duplicateValues" dxfId="3" priority="4"/>
  </conditionalFormatting>
  <conditionalFormatting sqref="C1:C1048576">
    <cfRule type="cellIs" dxfId="2" priority="1" operator="equal">
      <formula>"INCOMPLETA"</formula>
    </cfRule>
  </conditionalFormatting>
  <conditionalFormatting sqref="D1:D1048576 E2:K2 E3:I3 K3 E4:K201">
    <cfRule type="cellIs" dxfId="1" priority="2" operator="equal">
      <formula>"OK"</formula>
    </cfRule>
    <cfRule type="containsText" dxfId="0" priority="3" operator="containsText" text="ERRO">
      <formula>NOT(ISERROR(SEARCH("ERRO",D1)))</formula>
    </cfRule>
  </conditionalFormatting>
  <pageMargins left="0.75" right="0.75" top="1" bottom="1" header="0.5" footer="0.5"/>
  <drawing r:id="rId4"/>
  <tableParts count="3"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6</vt:i4>
      </vt:variant>
    </vt:vector>
  </HeadingPairs>
  <TitlesOfParts>
    <vt:vector size="11" baseType="lpstr">
      <vt:lpstr>Vendas-Banco_Original</vt:lpstr>
      <vt:lpstr>Identificacao_Erros</vt:lpstr>
      <vt:lpstr>Tratamento_Erros</vt:lpstr>
      <vt:lpstr>Dados_Limpos</vt:lpstr>
      <vt:lpstr>Qualidade_Dados</vt:lpstr>
      <vt:lpstr>Dados_Limpos!Area_de_extracao</vt:lpstr>
      <vt:lpstr>Tabela1</vt:lpstr>
      <vt:lpstr>Qualidade_Dados!tbl_tratamento</vt:lpstr>
      <vt:lpstr>tbl_tratamento</vt:lpstr>
      <vt:lpstr>Qualidade_Dados!Tratamento_Erros</vt:lpstr>
      <vt:lpstr>Tratamento_Erros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henriky</cp:lastModifiedBy>
  <dcterms:created xsi:type="dcterms:W3CDTF">2025-11-15T18:53:46Z</dcterms:created>
  <dcterms:modified xsi:type="dcterms:W3CDTF">2025-11-22T01:49:30Z</dcterms:modified>
</cp:coreProperties>
</file>